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merged" sheetId="1" r:id="rId4"/>
  </sheets>
  <definedNames/>
  <calcPr/>
</workbook>
</file>

<file path=xl/sharedStrings.xml><?xml version="1.0" encoding="utf-8"?>
<sst xmlns="http://schemas.openxmlformats.org/spreadsheetml/2006/main" count="1747" uniqueCount="675">
  <si>
    <t>Id</t>
  </si>
  <si>
    <t>ActivityDate</t>
  </si>
  <si>
    <t>TotalSteps</t>
  </si>
  <si>
    <t>TotalDistance</t>
  </si>
  <si>
    <t>Totaldistance</t>
  </si>
  <si>
    <t>TrackerDistance</t>
  </si>
  <si>
    <t>Trackerdistance</t>
  </si>
  <si>
    <t>LoggedActivitiesDistance</t>
  </si>
  <si>
    <t>VeryActiveDistance</t>
  </si>
  <si>
    <t>Veryactivedistance</t>
  </si>
  <si>
    <t>ModeratelyActiveDistance</t>
  </si>
  <si>
    <t>Moderatelyactivedistance</t>
  </si>
  <si>
    <t>LightActiveDistance</t>
  </si>
  <si>
    <t>Lightactivedistance</t>
  </si>
  <si>
    <t>SedentaryActiveDistance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</si>
  <si>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</si>
  <si>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</si>
  <si>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</si>
  <si>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</si>
  <si>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</si>
  <si>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</si>
  <si>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3/25/2016</t>
  </si>
  <si>
    <t>7.1100001335144</t>
  </si>
  <si>
    <t>2.5699999332428</t>
  </si>
  <si>
    <t>0.46000000834465</t>
  </si>
  <si>
    <t>4.07000017166138</t>
  </si>
  <si>
    <t>3/26/2016</t>
  </si>
  <si>
    <t>11.5500001907349</t>
  </si>
  <si>
    <t>6.92000007629395</t>
  </si>
  <si>
    <t>0.730000019073486</t>
  </si>
  <si>
    <t>3.91000008583069</t>
  </si>
  <si>
    <t>3/27/2016</t>
  </si>
  <si>
    <t>8.52999973297119</t>
  </si>
  <si>
    <t>4.65999984741211</t>
  </si>
  <si>
    <t>0.159999996423721</t>
  </si>
  <si>
    <t>3.71000003814697</t>
  </si>
  <si>
    <t>3/28/2016</t>
  </si>
  <si>
    <t>8.93000030517578</t>
  </si>
  <si>
    <t>3.19000005722046</t>
  </si>
  <si>
    <t>0.790000021457672</t>
  </si>
  <si>
    <t>4.94999980926514</t>
  </si>
  <si>
    <t>MOYENNE</t>
  </si>
  <si>
    <t>3/29/2016</t>
  </si>
  <si>
    <t>7.84999990463257</t>
  </si>
  <si>
    <t>2.16000008583069</t>
  </si>
  <si>
    <t>1.0900000333786</t>
  </si>
  <si>
    <t>4.6100001335144</t>
  </si>
  <si>
    <t>MIN</t>
  </si>
  <si>
    <t>3/30/2016</t>
  </si>
  <si>
    <t>7.15999984741211</t>
  </si>
  <si>
    <t>2.35999989509583</t>
  </si>
  <si>
    <t>0.509999990463257</t>
  </si>
  <si>
    <t>4.28999996185303</t>
  </si>
  <si>
    <t>MAX</t>
  </si>
  <si>
    <t>3/31/2016</t>
  </si>
  <si>
    <t>7.8600001335144</t>
  </si>
  <si>
    <t>2.28999996185303</t>
  </si>
  <si>
    <t>0.490000009536743</t>
  </si>
  <si>
    <t>5.03999996185303</t>
  </si>
  <si>
    <t>7.86999988555908</t>
  </si>
  <si>
    <t>3.3199999332428</t>
  </si>
  <si>
    <t>0.829999983310699</t>
  </si>
  <si>
    <t>3.64000010490417</t>
  </si>
  <si>
    <t>7.25</t>
  </si>
  <si>
    <t>0.449999988079071</t>
  </si>
  <si>
    <t>3.74000000953674</t>
  </si>
  <si>
    <t>TotalDistance (miles)</t>
  </si>
  <si>
    <t>6.36999988555908</t>
  </si>
  <si>
    <t>0.910000026226044</t>
  </si>
  <si>
    <t>1.27999997138977</t>
  </si>
  <si>
    <t>4.17999982833862</t>
  </si>
  <si>
    <t>9.80000019073486</t>
  </si>
  <si>
    <t>3.39000010490417</t>
  </si>
  <si>
    <t>0.699999988079071</t>
  </si>
  <si>
    <t>5.69000005722046</t>
  </si>
  <si>
    <t>9.72999954223633</t>
  </si>
  <si>
    <t>2.94000005722046</t>
  </si>
  <si>
    <t>0.759999990463257</t>
  </si>
  <si>
    <t>6.03999996185303</t>
  </si>
  <si>
    <t>7.67000007629395</t>
  </si>
  <si>
    <t>2.03999996185303</t>
  </si>
  <si>
    <t>0.479999989271164</t>
  </si>
  <si>
    <t>5.15000009536743</t>
  </si>
  <si>
    <t>6.44000005722046</t>
  </si>
  <si>
    <t>1.20000004768372</t>
  </si>
  <si>
    <t>4.44999980926514</t>
  </si>
  <si>
    <t>7.94000005722046</t>
  </si>
  <si>
    <t>3.30999994277954</t>
  </si>
  <si>
    <t>0.899999976158142</t>
  </si>
  <si>
    <t>8.10000038146973</t>
  </si>
  <si>
    <t>2.58999991416931</t>
  </si>
  <si>
    <t>0.589999973773956</t>
  </si>
  <si>
    <t>4.92000007629395</t>
  </si>
  <si>
    <t>6.98000001907349</t>
  </si>
  <si>
    <t>2.48000001907349</t>
  </si>
  <si>
    <t>7.26000022888184</t>
  </si>
  <si>
    <t>0.569999992847443</t>
  </si>
  <si>
    <t>4.65000009536743</t>
  </si>
  <si>
    <t>0.140000000596046</t>
  </si>
  <si>
    <t>0.129999995231628</t>
  </si>
  <si>
    <t>1.17999994754791</t>
  </si>
  <si>
    <t>1.12999999523163</t>
  </si>
  <si>
    <t>0.00999999977648258</t>
  </si>
  <si>
    <t>0.529999971389771</t>
  </si>
  <si>
    <t>Calories (kcal)</t>
  </si>
  <si>
    <t>1.28999996185303</t>
  </si>
  <si>
    <t>1.24000000953674</t>
  </si>
  <si>
    <t>1.00999999046326</t>
  </si>
  <si>
    <t>2.9300000667572</t>
  </si>
  <si>
    <t>0.270000010728836</t>
  </si>
  <si>
    <t>2.15000009536743</t>
  </si>
  <si>
    <t>5.98999977111816</t>
  </si>
  <si>
    <t>5.96999979019165</t>
  </si>
  <si>
    <t>1.88999998569489</t>
  </si>
  <si>
    <t>1.87999999523163</t>
  </si>
  <si>
    <t>0.870000004768372</t>
  </si>
  <si>
    <t>0.649999976158142</t>
  </si>
  <si>
    <t>0.720000028610229</t>
  </si>
  <si>
    <t>4.11999988555908</t>
  </si>
  <si>
    <t>4.09999990463257</t>
  </si>
  <si>
    <t>2.3199999332428</t>
  </si>
  <si>
    <t>0.0299999993294477</t>
  </si>
  <si>
    <t>2.53999996185303</t>
  </si>
  <si>
    <t>0.469999998807907</t>
  </si>
  <si>
    <t>0.25</t>
  </si>
  <si>
    <t>1.80999994277954</t>
  </si>
  <si>
    <t>4.30999994277954</t>
  </si>
  <si>
    <t>3.41000008583069</t>
  </si>
  <si>
    <t>0.779999971389771</t>
  </si>
  <si>
    <t>2.59999990463257</t>
  </si>
  <si>
    <t>14.710000038147</t>
  </si>
  <si>
    <t>6.40000009536743</t>
  </si>
  <si>
    <t>5.73000001907349</t>
  </si>
  <si>
    <t>9.40999984741211</t>
  </si>
  <si>
    <t>4.82999992370605</t>
  </si>
  <si>
    <t>0.769999980926514</t>
  </si>
  <si>
    <t>3.78999996185303</t>
  </si>
  <si>
    <t>2.04999995231628</t>
  </si>
  <si>
    <t>0.310000002384186</t>
  </si>
  <si>
    <t>0.170000001788139</t>
  </si>
  <si>
    <t>1.55999994277954</t>
  </si>
  <si>
    <t>7.21000003814697</t>
  </si>
  <si>
    <t>0.340000003576279</t>
  </si>
  <si>
    <t>1.51999998092651</t>
  </si>
  <si>
    <t>5.3600001335144</t>
  </si>
  <si>
    <t>5.84999990463257</t>
  </si>
  <si>
    <t>2.11999988555908</t>
  </si>
  <si>
    <t>2.45000004768372</t>
  </si>
  <si>
    <t>8.11999988555908</t>
  </si>
  <si>
    <t>0.209999993443489</t>
  </si>
  <si>
    <t>2.41000008583069</t>
  </si>
  <si>
    <t>5.69999980926514</t>
  </si>
  <si>
    <t>2.80999994277954</t>
  </si>
  <si>
    <t>10.0600004196167</t>
  </si>
  <si>
    <t>1.30999994277954</t>
  </si>
  <si>
    <t>3.72000002861023</t>
  </si>
  <si>
    <t>5.03000020980835</t>
  </si>
  <si>
    <t>0.970000028610229</t>
  </si>
  <si>
    <t>4.53000020980835</t>
  </si>
  <si>
    <t>0.610000014305115</t>
  </si>
  <si>
    <t>0.370000004768372</t>
  </si>
  <si>
    <t>3.54999995231628</t>
  </si>
  <si>
    <t>4.19000005722046</t>
  </si>
  <si>
    <t>3.50999999046326</t>
  </si>
  <si>
    <t>3.28999996185303</t>
  </si>
  <si>
    <t>4.34000015258789</t>
  </si>
  <si>
    <t>4.32999992370605</t>
  </si>
  <si>
    <t>3.58999991416931</t>
  </si>
  <si>
    <t>2.99000000953674</t>
  </si>
  <si>
    <t>2.61999988555908</t>
  </si>
  <si>
    <t>3.92000007629395</t>
  </si>
  <si>
    <t>2.21000003814697</t>
  </si>
  <si>
    <t>1.62999999523163</t>
  </si>
  <si>
    <t>1.54999995231628</t>
  </si>
  <si>
    <t>0.360000014305115</t>
  </si>
  <si>
    <t>1.75</t>
  </si>
  <si>
    <t>1.37999999523163</t>
  </si>
  <si>
    <t>1.46000003814697</t>
  </si>
  <si>
    <t>0.839999973773956</t>
  </si>
  <si>
    <t>0.0199999995529652</t>
  </si>
  <si>
    <t>9.60000038146973</t>
  </si>
  <si>
    <t>5.46000003814697</t>
  </si>
  <si>
    <t>0.629999995231628</t>
  </si>
  <si>
    <t>3.83999991416931</t>
  </si>
  <si>
    <t>7.82000017166138</t>
  </si>
  <si>
    <t>1.78999996185303</t>
  </si>
  <si>
    <t>0.889999985694885</t>
  </si>
  <si>
    <t>5.1399998664856</t>
  </si>
  <si>
    <t>5.01999998092651</t>
  </si>
  <si>
    <t>4.69000005722046</t>
  </si>
  <si>
    <t>7.59000015258789</t>
  </si>
  <si>
    <t>0.980000019073486</t>
  </si>
  <si>
    <t>5.8899998664856</t>
  </si>
  <si>
    <t>10.9300003051758</t>
  </si>
  <si>
    <t>3.4300000667572</t>
  </si>
  <si>
    <t>5.75</t>
  </si>
  <si>
    <t>13.8299999237061</t>
  </si>
  <si>
    <t>4.51000022888184</t>
  </si>
  <si>
    <t>9.26000022888184</t>
  </si>
  <si>
    <t>3.23000001907349</t>
  </si>
  <si>
    <t>0.560000002384186</t>
  </si>
  <si>
    <t>5.46999979019165</t>
  </si>
  <si>
    <t>12.5900001525879</t>
  </si>
  <si>
    <t>7.01999998092651</t>
  </si>
  <si>
    <t>0.0799999982118607</t>
  </si>
  <si>
    <t>1.04999995231628</t>
  </si>
  <si>
    <t>5.90000009536743</t>
  </si>
  <si>
    <t>7.09000015258789</t>
  </si>
  <si>
    <t>1.21000003814697</t>
  </si>
  <si>
    <t>5.32999992370605</t>
  </si>
  <si>
    <t>4.71999979019165</t>
  </si>
  <si>
    <t>0.219999998807907</t>
  </si>
  <si>
    <t>1.26999998092651</t>
  </si>
  <si>
    <t>1.62000000476837</t>
  </si>
  <si>
    <t xml:space="preserve">  </t>
  </si>
  <si>
    <t>1.42999994754791</t>
  </si>
  <si>
    <t>4.1399998664856</t>
  </si>
  <si>
    <t>1.97000002861023</t>
  </si>
  <si>
    <t>1.72000002861023</t>
  </si>
  <si>
    <t>2.32999992370605</t>
  </si>
  <si>
    <t>1.91999995708466</t>
  </si>
  <si>
    <t>2.02999997138977</t>
  </si>
  <si>
    <t>2.29999995231628</t>
  </si>
  <si>
    <t>3.27999997138977</t>
  </si>
  <si>
    <t>0.0599999986588955</t>
  </si>
  <si>
    <t>0.419999986886978</t>
  </si>
  <si>
    <t>2.79999995231628</t>
  </si>
  <si>
    <t>1.52999997138977</t>
  </si>
  <si>
    <t>0.119999997317791</t>
  </si>
  <si>
    <t>6.65999984741211</t>
  </si>
  <si>
    <t>1.4099999666214</t>
  </si>
  <si>
    <t>6.78999996185303</t>
  </si>
  <si>
    <t>3.11999988555908</t>
  </si>
  <si>
    <t>7.09999990463257</t>
  </si>
  <si>
    <t>1.76999998092651</t>
  </si>
  <si>
    <t>2.05999994277954</t>
  </si>
  <si>
    <t>3.26999998092651</t>
  </si>
  <si>
    <t>4.46999979019165</t>
  </si>
  <si>
    <t>5.51000022888184</t>
  </si>
  <si>
    <t>10.2200002670288</t>
  </si>
  <si>
    <t>0.810000002384186</t>
  </si>
  <si>
    <t>5.82000017166138</t>
  </si>
  <si>
    <t>6.80000019073486</t>
  </si>
  <si>
    <t>1.41999995708466</t>
  </si>
  <si>
    <t>1.23000001907349</t>
  </si>
  <si>
    <t>4.15999984741211</t>
  </si>
  <si>
    <t>6.82000017166138</t>
  </si>
  <si>
    <t>1.63999998569489</t>
  </si>
  <si>
    <t>4.67999982833862</t>
  </si>
  <si>
    <t>7.34000015258789</t>
  </si>
  <si>
    <t>2.75999999046326</t>
  </si>
  <si>
    <t>3.6800000667572</t>
  </si>
  <si>
    <t>6.84999990463257</t>
  </si>
  <si>
    <t>0.680000007152557</t>
  </si>
  <si>
    <t>4.94000005722046</t>
  </si>
  <si>
    <t>6.75</t>
  </si>
  <si>
    <t>0.349999994039536</t>
  </si>
  <si>
    <t>6.23000001907349</t>
  </si>
  <si>
    <t>10.6300001144409</t>
  </si>
  <si>
    <t>1.25</t>
  </si>
  <si>
    <t>1.82000005245209</t>
  </si>
  <si>
    <t>7.55999994277954</t>
  </si>
  <si>
    <t>6.82999992370605</t>
  </si>
  <si>
    <t>1.01999998092651</t>
  </si>
  <si>
    <t>6.6100001335144</t>
  </si>
  <si>
    <t>0.330000013113022</t>
  </si>
  <si>
    <t>3.35999989509583</t>
  </si>
  <si>
    <t>0.600000023841858</t>
  </si>
  <si>
    <t>1.49000000953674</t>
  </si>
  <si>
    <t>5.13000011444092</t>
  </si>
  <si>
    <t>0.189999997615814</t>
  </si>
  <si>
    <t>0.800000011920929</t>
  </si>
  <si>
    <t>4.15000009536743</t>
  </si>
  <si>
    <t>6.53000020980835</t>
  </si>
  <si>
    <t>5.28999996185303</t>
  </si>
  <si>
    <t>5.67000007629395</t>
  </si>
  <si>
    <t>5.65000009536743</t>
  </si>
  <si>
    <t>6.30999994277954</t>
  </si>
  <si>
    <t>0.689999997615814</t>
  </si>
  <si>
    <t>5.23999977111816</t>
  </si>
  <si>
    <t>4.80999994277954</t>
  </si>
  <si>
    <t>9.5600004196167</t>
  </si>
  <si>
    <t>3.01999998092651</t>
  </si>
  <si>
    <t>0.409999996423721</t>
  </si>
  <si>
    <t>6.1399998664856</t>
  </si>
  <si>
    <t>0.0399999991059303</t>
  </si>
  <si>
    <t>3.17000007629395</t>
  </si>
  <si>
    <t>4.82803201675415</t>
  </si>
  <si>
    <t>3.22000002861023</t>
  </si>
  <si>
    <t>3.21868801116943</t>
  </si>
  <si>
    <t>1.61000001430511</t>
  </si>
  <si>
    <t>1.60934400558472</t>
  </si>
  <si>
    <t>3.95000004768372</t>
  </si>
  <si>
    <t>5.23000001907349</t>
  </si>
  <si>
    <t>1.67999994754791</t>
  </si>
  <si>
    <t>3.21000003814697</t>
  </si>
  <si>
    <t>4.01999998092651</t>
  </si>
  <si>
    <t>1.29999995231628</t>
  </si>
  <si>
    <t>2.49000000953674</t>
  </si>
  <si>
    <t>3.03999996185303</t>
  </si>
  <si>
    <t>4.3899998664856</t>
  </si>
  <si>
    <t>0.0900000035762787</t>
  </si>
  <si>
    <t>3.51999998092651</t>
  </si>
  <si>
    <t>5.09999990463257</t>
  </si>
  <si>
    <t>4.05000019073486</t>
  </si>
  <si>
    <t>3.76999998092651</t>
  </si>
  <si>
    <t>6.25</t>
  </si>
  <si>
    <t>3.1800000667572</t>
  </si>
  <si>
    <t>1.03999996185303</t>
  </si>
  <si>
    <t>0.150000005960464</t>
  </si>
  <si>
    <t>1.99000000953674</t>
  </si>
  <si>
    <t>3.00999999046326</t>
  </si>
  <si>
    <t>0.180000007152557</t>
  </si>
  <si>
    <t>4.90999984741211</t>
  </si>
  <si>
    <t>7.69999980926514</t>
  </si>
  <si>
    <t>2.17000007629395</t>
  </si>
  <si>
    <t>7.98999977111816</t>
  </si>
  <si>
    <t>1.02999997138977</t>
  </si>
  <si>
    <t>2.00999999046326</t>
  </si>
  <si>
    <t>8.22999954223633</t>
  </si>
  <si>
    <t>1.71000003814697</t>
  </si>
  <si>
    <t>1.35000002384186</t>
  </si>
  <si>
    <t>5.17000007629395</t>
  </si>
  <si>
    <t>10.3199996948242</t>
  </si>
  <si>
    <t>6.86999988555908</t>
  </si>
  <si>
    <t>5.63000011444092</t>
  </si>
  <si>
    <t>3.59999990463257</t>
  </si>
  <si>
    <t>6.84000015258789</t>
  </si>
  <si>
    <t>4.44000005722046</t>
  </si>
  <si>
    <t>2.40000009536743</t>
  </si>
  <si>
    <t>9.76000022888184</t>
  </si>
  <si>
    <t>1.74000000953674</t>
  </si>
  <si>
    <t>5.53000020980835</t>
  </si>
  <si>
    <t>2.39000010490417</t>
  </si>
  <si>
    <t>0.939999997615814</t>
  </si>
  <si>
    <t>2.14000010490417</t>
  </si>
  <si>
    <t>0.0700000002980232</t>
  </si>
  <si>
    <t>1.96000003814697</t>
  </si>
  <si>
    <t>3.97000002861023</t>
  </si>
  <si>
    <t>3.96000003814697</t>
  </si>
  <si>
    <t>3/13/2016</t>
  </si>
  <si>
    <t>2.30999994277954</t>
  </si>
  <si>
    <t>2.27999997138977</t>
  </si>
  <si>
    <t>3/14/2016</t>
  </si>
  <si>
    <t>3/15/2016</t>
  </si>
  <si>
    <t>4.23000001907349</t>
  </si>
  <si>
    <t>4.03999996185303</t>
  </si>
  <si>
    <t>3/16/2016</t>
  </si>
  <si>
    <t>8.98999977111816</t>
  </si>
  <si>
    <t>1.45000004768372</t>
  </si>
  <si>
    <t>6.90000009536743</t>
  </si>
  <si>
    <t>3/17/2016</t>
  </si>
  <si>
    <t>6.40999984741211</t>
  </si>
  <si>
    <t>3/18/2016</t>
  </si>
  <si>
    <t>0.259999990463257</t>
  </si>
  <si>
    <t>3/19/2016</t>
  </si>
  <si>
    <t>4.09000015258789</t>
  </si>
  <si>
    <t>3/20/2016</t>
  </si>
  <si>
    <t>7.40999984741211</t>
  </si>
  <si>
    <t>3/21/2016</t>
  </si>
  <si>
    <t>6.28999996185303</t>
  </si>
  <si>
    <t>3/22/2016</t>
  </si>
  <si>
    <t>4.78000020980835</t>
  </si>
  <si>
    <t>3/23/2016</t>
  </si>
  <si>
    <t>4.51999998092651</t>
  </si>
  <si>
    <t>3/24/2016</t>
  </si>
  <si>
    <t>3.99000000953674</t>
  </si>
  <si>
    <t>3.13000011444092</t>
  </si>
  <si>
    <t>5.11999988555908</t>
  </si>
  <si>
    <t>1.50999999046326</t>
  </si>
  <si>
    <t>0.0500000007450581</t>
  </si>
  <si>
    <t>2.98000001907349</t>
  </si>
  <si>
    <t>2.96000003814697</t>
  </si>
  <si>
    <t>3.86999988555908</t>
  </si>
  <si>
    <t>3.84999990463257</t>
  </si>
  <si>
    <t>0.920000016689301</t>
  </si>
  <si>
    <t>0.620000004768372</t>
  </si>
  <si>
    <t>3.09999990463257</t>
  </si>
  <si>
    <t>2.74000000953674</t>
  </si>
  <si>
    <t>4.38000011444092</t>
  </si>
  <si>
    <t>4.3600001335144</t>
  </si>
  <si>
    <t>4.59999990463257</t>
  </si>
  <si>
    <t>0.949999988079071</t>
  </si>
  <si>
    <t>3.65000009536743</t>
  </si>
  <si>
    <t>4.92999982833862</t>
  </si>
  <si>
    <t>0.5</t>
  </si>
  <si>
    <t>5.30999994277954</t>
  </si>
  <si>
    <t>0.28999999165535</t>
  </si>
  <si>
    <t>7.51000022888184</t>
  </si>
  <si>
    <t>1.47000002861023</t>
  </si>
  <si>
    <t>5.01000022888184</t>
  </si>
  <si>
    <t>5.55000019073486</t>
  </si>
  <si>
    <t>1.1599999666214</t>
  </si>
  <si>
    <t>3.8199999332428</t>
  </si>
  <si>
    <t>0.239999994635582</t>
  </si>
  <si>
    <t>2.08999991416931</t>
  </si>
  <si>
    <t>3.44000005722046</t>
  </si>
  <si>
    <t>1.94000005722046</t>
  </si>
  <si>
    <t>5.34000015258789</t>
  </si>
  <si>
    <t>0.550000011920929</t>
  </si>
  <si>
    <t>1.6599999666214</t>
  </si>
  <si>
    <t>3.75999999046326</t>
  </si>
  <si>
    <t>4.57000017166138</t>
  </si>
  <si>
    <t>0.055842999368906</t>
  </si>
  <si>
    <t>6.15999984741211</t>
  </si>
  <si>
    <t>5.48999977111816</t>
  </si>
  <si>
    <t>0.540000021457672</t>
  </si>
  <si>
    <t>2.50999999046326</t>
  </si>
  <si>
    <t>0.300000011920929</t>
  </si>
  <si>
    <t>4.98000001907349</t>
  </si>
  <si>
    <t>4.96999979019165</t>
  </si>
  <si>
    <t>0.230000004172325</t>
  </si>
  <si>
    <t>6.07000017166138</t>
  </si>
  <si>
    <t>0.430000007152557</t>
  </si>
  <si>
    <t>5.36999988555908</t>
  </si>
  <si>
    <t>6.26999998092651</t>
  </si>
  <si>
    <t>0.959999978542328</t>
  </si>
  <si>
    <t>0.850000023841858</t>
  </si>
  <si>
    <t>4.46000003814697</t>
  </si>
  <si>
    <t>5.65999984741211</t>
  </si>
  <si>
    <t>5.51999998092651</t>
  </si>
  <si>
    <t>6.76000022888184</t>
  </si>
  <si>
    <t>4.86999988555908</t>
  </si>
  <si>
    <t>7.34999990463257</t>
  </si>
  <si>
    <t>6.15000009536743</t>
  </si>
  <si>
    <t>0.379999995231628</t>
  </si>
  <si>
    <t>5.26999998092651</t>
  </si>
  <si>
    <t>4.40999984741211</t>
  </si>
  <si>
    <t>3.85999989509583</t>
  </si>
  <si>
    <t>2.19000005722046</t>
  </si>
  <si>
    <t>3.63000011444092</t>
  </si>
  <si>
    <t>3.60999989509583</t>
  </si>
  <si>
    <t>2.10999989509583</t>
  </si>
  <si>
    <t>2.83999991416931</t>
  </si>
  <si>
    <t>2.52999997138977</t>
  </si>
  <si>
    <t>0.100000001490116</t>
  </si>
  <si>
    <t>2.01999998092651</t>
  </si>
  <si>
    <t>2.54999995231628</t>
  </si>
  <si>
    <t>4.13000011444092</t>
  </si>
  <si>
    <t>1.95000004768372</t>
  </si>
  <si>
    <t>3.52999997138977</t>
  </si>
  <si>
    <t>2.09999990463257</t>
  </si>
  <si>
    <t>4.07999992370605</t>
  </si>
  <si>
    <t>3.75</t>
  </si>
  <si>
    <t>5.42000007629395</t>
  </si>
  <si>
    <t>4.48999977111816</t>
  </si>
  <si>
    <t>1.5900000333786</t>
  </si>
  <si>
    <t>0.860000014305115</t>
  </si>
  <si>
    <t>2.76999998092651</t>
  </si>
  <si>
    <t>5.84000015258789</t>
  </si>
  <si>
    <t>0.819999992847443</t>
  </si>
  <si>
    <t>5.28000020980835</t>
  </si>
  <si>
    <t>4.67000007629395</t>
  </si>
  <si>
    <t>5.34999990463257</t>
  </si>
  <si>
    <t>5.80999994277954</t>
  </si>
  <si>
    <t>5.44000005722046</t>
  </si>
  <si>
    <t>8.38000011444092</t>
  </si>
  <si>
    <t>9.82999992370605</t>
  </si>
  <si>
    <t>2.84999990463257</t>
  </si>
  <si>
    <t>6.71999979019165</t>
  </si>
  <si>
    <t>6.3600001335144</t>
  </si>
  <si>
    <t>5.40999984741211</t>
  </si>
  <si>
    <t>3.36999988555908</t>
  </si>
  <si>
    <t>6.17999982833862</t>
  </si>
  <si>
    <t>6.6399998664856</t>
  </si>
  <si>
    <t>5.94999980926514</t>
  </si>
  <si>
    <t>11.3599996566772</t>
  </si>
  <si>
    <t>2.6800000667572</t>
  </si>
  <si>
    <t>8.0600004196167</t>
  </si>
  <si>
    <t>9.02999973297119</t>
  </si>
  <si>
    <t>7.78999996185303</t>
  </si>
  <si>
    <t>2.90000009536743</t>
  </si>
  <si>
    <t>4.57999992370605</t>
  </si>
  <si>
    <t>1.9099999666214</t>
  </si>
  <si>
    <t>0.990000009536743</t>
  </si>
  <si>
    <t>5.88000011444092</t>
  </si>
  <si>
    <t>2.0699999332428</t>
  </si>
  <si>
    <t>0.439999997615814</t>
  </si>
  <si>
    <t>7.38000011444092</t>
  </si>
  <si>
    <t>1.70000004768372</t>
  </si>
  <si>
    <t>3.89000010490417</t>
  </si>
  <si>
    <t>10.0799999237061</t>
  </si>
  <si>
    <t>1.73000001907349</t>
  </si>
  <si>
    <t>5.07999992370605</t>
  </si>
  <si>
    <t>6.48999977111816</t>
  </si>
  <si>
    <t>3.07999992370605</t>
  </si>
  <si>
    <t>0.280000001192093</t>
  </si>
  <si>
    <t>1.48000001907349</t>
  </si>
  <si>
    <t>7.76999998092651</t>
  </si>
  <si>
    <t>2.25999999046326</t>
  </si>
  <si>
    <t>2.24000000953674</t>
  </si>
  <si>
    <t>0.670000016689301</t>
  </si>
  <si>
    <t>4.76000022888184</t>
  </si>
  <si>
    <t>2.25</t>
  </si>
  <si>
    <t>11.1099996566772</t>
  </si>
  <si>
    <t>8.1899995803833</t>
  </si>
  <si>
    <t>5.55999994277954</t>
  </si>
  <si>
    <t>2.88000011444092</t>
  </si>
  <si>
    <t>6.69999980926514</t>
  </si>
  <si>
    <t>8.30000019073486</t>
  </si>
  <si>
    <t>1.37000000476837</t>
  </si>
  <si>
    <t>3.80999994277954</t>
  </si>
  <si>
    <t>3.25999999046326</t>
  </si>
  <si>
    <t>7.84000015258789</t>
  </si>
  <si>
    <t>5.61999988555908</t>
  </si>
  <si>
    <t>14.8400001525879</t>
  </si>
  <si>
    <t>12.5100002288818</t>
  </si>
  <si>
    <t>6.3899998664856</t>
  </si>
  <si>
    <t>0.639999985694885</t>
  </si>
  <si>
    <t>5.57000017166138</t>
  </si>
  <si>
    <t>7.48000001907349</t>
  </si>
  <si>
    <t>9.36999988555908</t>
  </si>
  <si>
    <t>3.66000008583069</t>
  </si>
  <si>
    <t>6.73000001907349</t>
  </si>
  <si>
    <t>8.14999961853027</t>
  </si>
  <si>
    <t>7.21999979019165</t>
  </si>
  <si>
    <t>2.02777290344238</t>
  </si>
  <si>
    <t>6.72705698013306</t>
  </si>
  <si>
    <t>7.46000003814697</t>
  </si>
  <si>
    <t>5.17999982833862</t>
  </si>
  <si>
    <t>2.1800000667572</t>
  </si>
  <si>
    <t>3.14000010490417</t>
  </si>
  <si>
    <t>8.43000030517578</t>
  </si>
  <si>
    <t>2.44000005722046</t>
  </si>
  <si>
    <t>10.0299997329712</t>
  </si>
  <si>
    <t>2.86999988555908</t>
  </si>
  <si>
    <t>3.33999991416931</t>
  </si>
  <si>
    <t>10.2399997711182</t>
  </si>
  <si>
    <t>9.31999969482422</t>
  </si>
  <si>
    <t>3.90000009536743</t>
  </si>
  <si>
    <t>2.4300000667572</t>
  </si>
  <si>
    <t>3.24000000953674</t>
  </si>
  <si>
    <t>8.14000034332275</t>
  </si>
  <si>
    <t>12.8000001907349</t>
  </si>
  <si>
    <t>5.90999984741211</t>
  </si>
  <si>
    <t>2.38000011444092</t>
  </si>
  <si>
    <t>8.85999965667725</t>
  </si>
  <si>
    <t>8.25</t>
  </si>
  <si>
    <t>3.97279500961304</t>
  </si>
  <si>
    <t>9.64999961853027</t>
  </si>
  <si>
    <t>8.86999988555908</t>
  </si>
  <si>
    <t>1.92630195617676</t>
  </si>
  <si>
    <t>10.8800001144409</t>
  </si>
  <si>
    <t>9.52000045776367</t>
  </si>
  <si>
    <t>5.45686388015747</t>
  </si>
  <si>
    <t>2.47000002861023</t>
  </si>
  <si>
    <t>8.26000022888184</t>
  </si>
  <si>
    <t>4.96000003814697</t>
  </si>
  <si>
    <t>6.71000003814697</t>
  </si>
  <si>
    <t>1.36000001430511</t>
  </si>
  <si>
    <t>9.09000015258789</t>
  </si>
  <si>
    <t>8.17000007629395</t>
  </si>
  <si>
    <t>2.69645500183105</t>
  </si>
  <si>
    <t>2.73000001907349</t>
  </si>
  <si>
    <t>9.0600004196167</t>
  </si>
  <si>
    <t>7.80999994277954</t>
  </si>
  <si>
    <t>4.901282787323</t>
  </si>
  <si>
    <t>4.23999977111816</t>
  </si>
  <si>
    <t>6.13000011444092</t>
  </si>
  <si>
    <t>11.2399997711182</t>
  </si>
  <si>
    <t>3.47000002861023</t>
  </si>
  <si>
    <t>11.3999996185303</t>
  </si>
  <si>
    <t>10.210000038147</t>
  </si>
  <si>
    <t>5.18984985351563</t>
  </si>
  <si>
    <t>5.80000019073486</t>
  </si>
  <si>
    <t>4.78999996185303</t>
  </si>
  <si>
    <t>9.14000034332275</t>
  </si>
  <si>
    <t>8.07999992370605</t>
  </si>
  <si>
    <t>4.83638000488281</t>
  </si>
  <si>
    <t>10.25</t>
  </si>
  <si>
    <t>9.06999969482422</t>
  </si>
  <si>
    <t>4.83572006225586</t>
  </si>
  <si>
    <t>4.55999994277954</t>
  </si>
  <si>
    <t>10.5799999237061</t>
  </si>
  <si>
    <t>9.43000030517578</t>
  </si>
  <si>
    <t>4.87598991394043</t>
  </si>
  <si>
    <t>1.19000005722046</t>
  </si>
  <si>
    <t>4.28000020980835</t>
  </si>
  <si>
    <t>8.44999980926514</t>
  </si>
  <si>
    <t>4.84231996536255</t>
  </si>
  <si>
    <t>4.69999980926514</t>
  </si>
  <si>
    <t>0.740000009536743</t>
  </si>
  <si>
    <t>4.21000003814697</t>
  </si>
  <si>
    <t>6.57999992370605</t>
  </si>
  <si>
    <t>6.1100001335144</t>
  </si>
  <si>
    <t>5.76999998092651</t>
  </si>
  <si>
    <t>4.8697829246521</t>
  </si>
  <si>
    <t>2.82999992370605</t>
  </si>
  <si>
    <t>4.98999977111816</t>
  </si>
  <si>
    <t>1.79999995231628</t>
  </si>
  <si>
    <t>2.60999989509583</t>
  </si>
  <si>
    <t>4.73000001907349</t>
  </si>
  <si>
    <t>10.8199996948242</t>
  </si>
  <si>
    <t>7.23000001907349</t>
  </si>
  <si>
    <t>1.12000000476837</t>
  </si>
  <si>
    <t>6.51999998092651</t>
  </si>
  <si>
    <t>1.39999997615814</t>
  </si>
  <si>
    <t>1.08000004291534</t>
  </si>
  <si>
    <t>3.46000003814697</t>
  </si>
  <si>
    <t>15.6199998855591</t>
  </si>
  <si>
    <t>12.0600004196167</t>
  </si>
  <si>
    <t>2.71000003814697</t>
  </si>
  <si>
    <t>20.1399993896484</t>
  </si>
  <si>
    <t>16.8199996948242</t>
  </si>
  <si>
    <t>1.69000005722046</t>
  </si>
  <si>
    <t>13.210000038147</t>
  </si>
  <si>
    <t>9.67000007629395</t>
  </si>
  <si>
    <t>3.34999990463257</t>
  </si>
  <si>
    <t>13.4099998474121</t>
  </si>
  <si>
    <t>9.96000003814697</t>
  </si>
  <si>
    <t>12.4200000762939</t>
  </si>
  <si>
    <t>8.96000003814697</t>
  </si>
  <si>
    <t>2.91000008583069</t>
  </si>
  <si>
    <t>13.1999998092651</t>
  </si>
  <si>
    <t>9.97000026702881</t>
  </si>
  <si>
    <t>9.53999996185303</t>
  </si>
  <si>
    <t>6.76999998092651</t>
  </si>
  <si>
    <t>6.69000005722046</t>
  </si>
  <si>
    <t>7.73000001907349</t>
  </si>
  <si>
    <t>3.04999995231628</t>
  </si>
  <si>
    <t>3.88000011444092</t>
  </si>
  <si>
    <t>12.7200002670288</t>
  </si>
  <si>
    <t>9.97999954223633</t>
  </si>
  <si>
    <t>3.42000007629395</t>
  </si>
  <si>
    <t>9.14999961853027</t>
  </si>
  <si>
    <t>0.930000007152557</t>
  </si>
  <si>
    <t>3.53999996185303</t>
  </si>
  <si>
    <t>1.66999995708466</t>
  </si>
  <si>
    <t>1.05999994277954</t>
  </si>
  <si>
    <t>2.66000008583069</t>
  </si>
  <si>
    <t>11.0500001907349</t>
  </si>
  <si>
    <t>2.0921471118927</t>
  </si>
  <si>
    <t>6.17000007629395</t>
  </si>
  <si>
    <t>10.1899995803833</t>
  </si>
  <si>
    <t>2.25308108329773</t>
  </si>
  <si>
    <t>0.75</t>
  </si>
  <si>
    <t>7.23999977111816</t>
  </si>
  <si>
    <t>6.98999977111816</t>
  </si>
  <si>
    <t>7.71000003814697</t>
  </si>
  <si>
    <t>4.76999998092651</t>
  </si>
  <si>
    <t>6.61999988555908</t>
  </si>
  <si>
    <t>1.77999997138977</t>
  </si>
  <si>
    <t>7.01000022888184</t>
  </si>
  <si>
    <t>1.53999996185303</t>
  </si>
  <si>
    <t>0.879999995231628</t>
  </si>
  <si>
    <t>4.59000015258789</t>
  </si>
  <si>
    <t>0.709999978542328</t>
  </si>
  <si>
    <t>2.69000005722046</t>
  </si>
  <si>
    <t>1.86000001430511</t>
  </si>
  <si>
    <t>2.46000003814697</t>
  </si>
  <si>
    <t>2.20000004768372</t>
  </si>
  <si>
    <t>1.10000002384186</t>
  </si>
  <si>
    <t>2.70000004768372</t>
  </si>
  <si>
    <t>0.389999985694885</t>
  </si>
  <si>
    <t>4.63000011444092</t>
  </si>
  <si>
    <t>0.109999999403954</t>
  </si>
  <si>
    <t>2.23000001907349</t>
  </si>
  <si>
    <t>2.95000004768372</t>
  </si>
  <si>
    <t>15.8199996948242</t>
  </si>
  <si>
    <t>8.69999980926514</t>
  </si>
  <si>
    <t>6.90999984741211</t>
  </si>
  <si>
    <t>23.3899993896484</t>
  </si>
  <si>
    <t>14.7200002670288</t>
  </si>
  <si>
    <t>18.4099998474121</t>
  </si>
  <si>
    <t>11.7299995422363</t>
  </si>
  <si>
    <t>20.9099998474121</t>
  </si>
  <si>
    <t>12.2200002670288</t>
  </si>
  <si>
    <t>8.42000007629395</t>
  </si>
  <si>
    <t>20.3899993896484</t>
  </si>
  <si>
    <t>11.1000003814697</t>
  </si>
  <si>
    <t>8.61999988555908</t>
  </si>
  <si>
    <t>8.06999969482422</t>
  </si>
  <si>
    <t>8.02000045776367</t>
  </si>
  <si>
    <t>27.5300006866455</t>
  </si>
  <si>
    <t>21.9200000762939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</si>
</sst>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readingOrder="0"/>
    </xf>
    <xf borderId="1" fillId="0" fontId="4" numFmtId="1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T2) LightlyActiveMinutes en fonction de VeryActiveMinutes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dailyActivity_merged!$S$1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dailyActivity_merged!$Q$2:$Q$1000</c:f>
            </c:numRef>
          </c:xVal>
          <c:yVal>
            <c:numRef>
              <c:f>dailyActivity_merged!$S$2:$S$1000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789534"/>
        <c:axId val="684491255"/>
      </c:scatterChart>
      <c:valAx>
        <c:axId val="1127789534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1200">
                    <a:solidFill>
                      <a:srgbClr val="000000"/>
                    </a:solidFill>
                    <a:latin typeface="Arial"/>
                  </a:rPr>
                  <a:t>X = VeryActiveMinutes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491255"/>
      </c:valAx>
      <c:valAx>
        <c:axId val="684491255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1200">
                    <a:solidFill>
                      <a:srgbClr val="000000"/>
                    </a:solidFill>
                    <a:latin typeface="Arial"/>
                  </a:rPr>
                  <a:t>Y = LightlyActiveMinutes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789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T3) Calories en fonction de TotalSteps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dailyActivity_merged!$U$1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dailyActivity_merged!$C$2:$C$1000</c:f>
            </c:numRef>
          </c:xVal>
          <c:yVal>
            <c:numRef>
              <c:f>dailyActivity_merged!$U$2:$U$1000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73065"/>
        <c:axId val="301730580"/>
      </c:scatterChart>
      <c:valAx>
        <c:axId val="5554730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1200">
                    <a:solidFill>
                      <a:srgbClr val="000000"/>
                    </a:solidFill>
                    <a:latin typeface="Arial"/>
                  </a:rPr>
                  <a:t>X = 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730580"/>
      </c:valAx>
      <c:valAx>
        <c:axId val="30173058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1200">
                    <a:solidFill>
                      <a:srgbClr val="000000"/>
                    </a:solidFill>
                    <a:latin typeface="Arial"/>
                  </a:rPr>
                  <a:t>Y = 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473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1543050</xdr:colOff>
      <xdr:row>70</xdr:row>
      <xdr:rowOff>0</xdr:rowOff>
    </xdr:from>
    <xdr:ext cx="9848850" cy="49911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1543050</xdr:colOff>
      <xdr:row>29</xdr:row>
      <xdr:rowOff>171450</xdr:rowOff>
    </xdr:from>
    <xdr:ext cx="9848850" cy="7029450"/>
    <xdr:pic>
      <xdr:nvPicPr>
        <xdr:cNvPr id="363499856" name="Chart2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1543050</xdr:colOff>
      <xdr:row>99</xdr:row>
      <xdr:rowOff>190500</xdr:rowOff>
    </xdr:from>
    <xdr:ext cx="9848850" cy="628650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20.5"/>
    <col customWidth="1" min="11" max="11" width="24.88"/>
    <col customWidth="1" min="12" max="12" width="23.13"/>
    <col customWidth="1" min="13" max="14" width="20.5"/>
    <col customWidth="1" min="15" max="15" width="23.25"/>
    <col customWidth="1" min="16" max="16" width="26.63"/>
    <col customWidth="1" min="17" max="3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>
        <v>1.503960366E9</v>
      </c>
      <c r="B2" s="4" t="s">
        <v>21</v>
      </c>
      <c r="C2" s="4">
        <v>11004.0</v>
      </c>
      <c r="D2" s="4" t="s">
        <v>22</v>
      </c>
      <c r="E2" s="4">
        <f t="shared" ref="E2:E456" si="1">ROUND(VALUE(SUBSTITUTE(D2,".",",")),2)</f>
        <v>7.11</v>
      </c>
      <c r="F2" s="4" t="s">
        <v>22</v>
      </c>
      <c r="G2" s="4">
        <f t="shared" ref="G2:G456" si="2">ROUND(VALUE(SUBSTITUTE(F2,".",",")),2)</f>
        <v>7.11</v>
      </c>
      <c r="H2" s="4">
        <v>0.0</v>
      </c>
      <c r="I2" s="4" t="s">
        <v>23</v>
      </c>
      <c r="J2" s="4">
        <f t="shared" ref="J2:J456" si="3">ROUND(VALUE(SUBSTITUTE(I2,".",",")),2)</f>
        <v>2.57</v>
      </c>
      <c r="K2" s="4" t="s">
        <v>24</v>
      </c>
      <c r="L2" s="4">
        <f t="shared" ref="L2:L456" si="4">ROUND(VALUE(SUBSTITUTE(K2,".",",")),2)</f>
        <v>0.46</v>
      </c>
      <c r="M2" s="4" t="s">
        <v>25</v>
      </c>
      <c r="N2" s="4">
        <f t="shared" ref="N2:N456" si="5">ROUND(VALUE(SUBSTITUTE(M2,".",",")),2)</f>
        <v>4.07</v>
      </c>
      <c r="O2" s="4">
        <v>0.0</v>
      </c>
      <c r="P2" s="4">
        <f t="shared" ref="P2:P456" si="6">ROUND(VALUE(SUBSTITUTE(O2,".",",")),2)</f>
        <v>0</v>
      </c>
      <c r="Q2" s="4">
        <v>33.0</v>
      </c>
      <c r="R2" s="4">
        <v>12.0</v>
      </c>
      <c r="S2" s="4">
        <v>205.0</v>
      </c>
      <c r="T2" s="4">
        <v>804.0</v>
      </c>
      <c r="U2" s="4">
        <v>1819.0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4">
        <v>1.503960366E9</v>
      </c>
      <c r="B3" s="4" t="s">
        <v>26</v>
      </c>
      <c r="C3" s="4">
        <v>17609.0</v>
      </c>
      <c r="D3" s="4" t="s">
        <v>27</v>
      </c>
      <c r="E3" s="4">
        <f t="shared" si="1"/>
        <v>11.55</v>
      </c>
      <c r="F3" s="4" t="s">
        <v>27</v>
      </c>
      <c r="G3" s="4">
        <f t="shared" si="2"/>
        <v>11.55</v>
      </c>
      <c r="H3" s="4">
        <v>0.0</v>
      </c>
      <c r="I3" s="4" t="s">
        <v>28</v>
      </c>
      <c r="J3" s="4">
        <f t="shared" si="3"/>
        <v>6.92</v>
      </c>
      <c r="K3" s="4" t="s">
        <v>29</v>
      </c>
      <c r="L3" s="4">
        <f t="shared" si="4"/>
        <v>0.73</v>
      </c>
      <c r="M3" s="4" t="s">
        <v>30</v>
      </c>
      <c r="N3" s="4">
        <f t="shared" si="5"/>
        <v>3.91</v>
      </c>
      <c r="O3" s="4">
        <v>0.0</v>
      </c>
      <c r="P3" s="4">
        <f t="shared" si="6"/>
        <v>0</v>
      </c>
      <c r="Q3" s="4">
        <v>89.0</v>
      </c>
      <c r="R3" s="4">
        <v>17.0</v>
      </c>
      <c r="S3" s="4">
        <v>274.0</v>
      </c>
      <c r="T3" s="4">
        <v>588.0</v>
      </c>
      <c r="U3" s="4">
        <v>2154.0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4">
        <v>1.503960366E9</v>
      </c>
      <c r="B4" s="4" t="s">
        <v>31</v>
      </c>
      <c r="C4" s="4">
        <v>12736.0</v>
      </c>
      <c r="D4" s="4" t="s">
        <v>32</v>
      </c>
      <c r="E4" s="4">
        <f t="shared" si="1"/>
        <v>8.53</v>
      </c>
      <c r="F4" s="4" t="s">
        <v>32</v>
      </c>
      <c r="G4" s="4">
        <f t="shared" si="2"/>
        <v>8.53</v>
      </c>
      <c r="H4" s="4">
        <v>0.0</v>
      </c>
      <c r="I4" s="4" t="s">
        <v>33</v>
      </c>
      <c r="J4" s="4">
        <f t="shared" si="3"/>
        <v>4.66</v>
      </c>
      <c r="K4" s="4" t="s">
        <v>34</v>
      </c>
      <c r="L4" s="4">
        <f t="shared" si="4"/>
        <v>0.16</v>
      </c>
      <c r="M4" s="4" t="s">
        <v>35</v>
      </c>
      <c r="N4" s="4">
        <f t="shared" si="5"/>
        <v>3.71</v>
      </c>
      <c r="O4" s="4">
        <v>0.0</v>
      </c>
      <c r="P4" s="4">
        <f t="shared" si="6"/>
        <v>0</v>
      </c>
      <c r="Q4" s="4">
        <v>56.0</v>
      </c>
      <c r="R4" s="4">
        <v>5.0</v>
      </c>
      <c r="S4" s="4">
        <v>268.0</v>
      </c>
      <c r="T4" s="4">
        <v>605.0</v>
      </c>
      <c r="U4" s="4">
        <v>1944.0</v>
      </c>
      <c r="V4" s="5"/>
      <c r="W4" s="6"/>
      <c r="X4" s="7" t="s">
        <v>2</v>
      </c>
      <c r="Y4" s="5"/>
      <c r="Z4" s="5"/>
      <c r="AA4" s="5"/>
      <c r="AB4" s="5"/>
      <c r="AC4" s="5"/>
      <c r="AD4" s="5"/>
      <c r="AE4" s="5"/>
      <c r="AF4" s="5"/>
    </row>
    <row r="5">
      <c r="A5" s="4">
        <v>1.503960366E9</v>
      </c>
      <c r="B5" s="4" t="s">
        <v>36</v>
      </c>
      <c r="C5" s="4">
        <v>13231.0</v>
      </c>
      <c r="D5" s="4" t="s">
        <v>37</v>
      </c>
      <c r="E5" s="4">
        <f t="shared" si="1"/>
        <v>8.93</v>
      </c>
      <c r="F5" s="4" t="s">
        <v>37</v>
      </c>
      <c r="G5" s="4">
        <f t="shared" si="2"/>
        <v>8.93</v>
      </c>
      <c r="H5" s="4">
        <v>0.0</v>
      </c>
      <c r="I5" s="4" t="s">
        <v>38</v>
      </c>
      <c r="J5" s="4">
        <f t="shared" si="3"/>
        <v>3.19</v>
      </c>
      <c r="K5" s="4" t="s">
        <v>39</v>
      </c>
      <c r="L5" s="4">
        <f t="shared" si="4"/>
        <v>0.79</v>
      </c>
      <c r="M5" s="4" t="s">
        <v>40</v>
      </c>
      <c r="N5" s="4">
        <f t="shared" si="5"/>
        <v>4.95</v>
      </c>
      <c r="O5" s="4">
        <v>0.0</v>
      </c>
      <c r="P5" s="4">
        <f t="shared" si="6"/>
        <v>0</v>
      </c>
      <c r="Q5" s="4">
        <v>39.0</v>
      </c>
      <c r="R5" s="4">
        <v>20.0</v>
      </c>
      <c r="S5" s="4">
        <v>224.0</v>
      </c>
      <c r="T5" s="4">
        <v>1080.0</v>
      </c>
      <c r="U5" s="4">
        <v>1932.0</v>
      </c>
      <c r="V5" s="5"/>
      <c r="W5" s="7" t="s">
        <v>41</v>
      </c>
      <c r="X5" s="6">
        <f>AVERAGE(C2:C456)</f>
        <v>6540.953846</v>
      </c>
      <c r="Y5" s="5"/>
      <c r="Z5" s="5"/>
      <c r="AA5" s="5"/>
      <c r="AB5" s="5"/>
      <c r="AC5" s="5"/>
      <c r="AD5" s="5"/>
      <c r="AE5" s="5"/>
      <c r="AF5" s="5"/>
    </row>
    <row r="6">
      <c r="A6" s="4">
        <v>1.503960366E9</v>
      </c>
      <c r="B6" s="4" t="s">
        <v>42</v>
      </c>
      <c r="C6" s="4">
        <v>12041.0</v>
      </c>
      <c r="D6" s="4" t="s">
        <v>43</v>
      </c>
      <c r="E6" s="4">
        <f t="shared" si="1"/>
        <v>7.85</v>
      </c>
      <c r="F6" s="4" t="s">
        <v>43</v>
      </c>
      <c r="G6" s="4">
        <f t="shared" si="2"/>
        <v>7.85</v>
      </c>
      <c r="H6" s="4">
        <v>0.0</v>
      </c>
      <c r="I6" s="4" t="s">
        <v>44</v>
      </c>
      <c r="J6" s="4">
        <f t="shared" si="3"/>
        <v>2.16</v>
      </c>
      <c r="K6" s="4" t="s">
        <v>45</v>
      </c>
      <c r="L6" s="4">
        <f t="shared" si="4"/>
        <v>1.09</v>
      </c>
      <c r="M6" s="4" t="s">
        <v>46</v>
      </c>
      <c r="N6" s="4">
        <f t="shared" si="5"/>
        <v>4.61</v>
      </c>
      <c r="O6" s="4">
        <v>0.0</v>
      </c>
      <c r="P6" s="4">
        <f t="shared" si="6"/>
        <v>0</v>
      </c>
      <c r="Q6" s="4">
        <v>28.0</v>
      </c>
      <c r="R6" s="4">
        <v>28.0</v>
      </c>
      <c r="S6" s="4">
        <v>243.0</v>
      </c>
      <c r="T6" s="4">
        <v>763.0</v>
      </c>
      <c r="U6" s="4">
        <v>1886.0</v>
      </c>
      <c r="V6" s="5"/>
      <c r="W6" s="7" t="s">
        <v>47</v>
      </c>
      <c r="X6" s="8">
        <f>MIN(C2:C456)</f>
        <v>0</v>
      </c>
      <c r="Y6" s="5"/>
      <c r="Z6" s="5"/>
      <c r="AA6" s="5"/>
      <c r="AB6" s="5"/>
      <c r="AC6" s="5"/>
      <c r="AD6" s="5"/>
      <c r="AE6" s="5"/>
      <c r="AF6" s="5"/>
    </row>
    <row r="7">
      <c r="A7" s="4">
        <v>1.503960366E9</v>
      </c>
      <c r="B7" s="4" t="s">
        <v>48</v>
      </c>
      <c r="C7" s="4">
        <v>10970.0</v>
      </c>
      <c r="D7" s="4" t="s">
        <v>49</v>
      </c>
      <c r="E7" s="4">
        <f t="shared" si="1"/>
        <v>7.16</v>
      </c>
      <c r="F7" s="4" t="s">
        <v>49</v>
      </c>
      <c r="G7" s="4">
        <f t="shared" si="2"/>
        <v>7.16</v>
      </c>
      <c r="H7" s="4">
        <v>0.0</v>
      </c>
      <c r="I7" s="4" t="s">
        <v>50</v>
      </c>
      <c r="J7" s="4">
        <f t="shared" si="3"/>
        <v>2.36</v>
      </c>
      <c r="K7" s="4" t="s">
        <v>51</v>
      </c>
      <c r="L7" s="4">
        <f t="shared" si="4"/>
        <v>0.51</v>
      </c>
      <c r="M7" s="4" t="s">
        <v>52</v>
      </c>
      <c r="N7" s="4">
        <f t="shared" si="5"/>
        <v>4.29</v>
      </c>
      <c r="O7" s="4">
        <v>0.0</v>
      </c>
      <c r="P7" s="4">
        <f t="shared" si="6"/>
        <v>0</v>
      </c>
      <c r="Q7" s="4">
        <v>30.0</v>
      </c>
      <c r="R7" s="4">
        <v>13.0</v>
      </c>
      <c r="S7" s="4">
        <v>223.0</v>
      </c>
      <c r="T7" s="4">
        <v>1174.0</v>
      </c>
      <c r="U7" s="4">
        <v>1820.0</v>
      </c>
      <c r="V7" s="5"/>
      <c r="W7" s="7" t="s">
        <v>53</v>
      </c>
      <c r="X7" s="6">
        <f>MAX(C2:C456)</f>
        <v>28497</v>
      </c>
      <c r="Y7" s="5"/>
      <c r="Z7" s="5"/>
      <c r="AA7" s="5"/>
      <c r="AB7" s="5"/>
      <c r="AC7" s="5"/>
      <c r="AD7" s="5"/>
      <c r="AE7" s="5"/>
      <c r="AF7" s="5"/>
    </row>
    <row r="8">
      <c r="A8" s="4">
        <v>1.503960366E9</v>
      </c>
      <c r="B8" s="4" t="s">
        <v>54</v>
      </c>
      <c r="C8" s="4">
        <v>12256.0</v>
      </c>
      <c r="D8" s="4" t="s">
        <v>55</v>
      </c>
      <c r="E8" s="4">
        <f t="shared" si="1"/>
        <v>7.86</v>
      </c>
      <c r="F8" s="4" t="s">
        <v>55</v>
      </c>
      <c r="G8" s="4">
        <f t="shared" si="2"/>
        <v>7.86</v>
      </c>
      <c r="H8" s="4">
        <v>0.0</v>
      </c>
      <c r="I8" s="4" t="s">
        <v>56</v>
      </c>
      <c r="J8" s="4">
        <f t="shared" si="3"/>
        <v>2.29</v>
      </c>
      <c r="K8" s="4" t="s">
        <v>57</v>
      </c>
      <c r="L8" s="4">
        <f t="shared" si="4"/>
        <v>0.49</v>
      </c>
      <c r="M8" s="4" t="s">
        <v>58</v>
      </c>
      <c r="N8" s="4">
        <f t="shared" si="5"/>
        <v>5.04</v>
      </c>
      <c r="O8" s="4">
        <v>0.0</v>
      </c>
      <c r="P8" s="4">
        <f t="shared" si="6"/>
        <v>0</v>
      </c>
      <c r="Q8" s="4">
        <v>33.0</v>
      </c>
      <c r="R8" s="4">
        <v>12.0</v>
      </c>
      <c r="S8" s="4">
        <v>239.0</v>
      </c>
      <c r="T8" s="4">
        <v>820.0</v>
      </c>
      <c r="U8" s="4">
        <v>1889.0</v>
      </c>
      <c r="V8" s="5"/>
      <c r="W8" s="9"/>
      <c r="X8" s="9"/>
      <c r="Y8" s="5"/>
      <c r="Z8" s="5"/>
      <c r="AA8" s="5"/>
      <c r="AB8" s="5"/>
      <c r="AC8" s="5"/>
      <c r="AD8" s="5"/>
      <c r="AE8" s="5"/>
      <c r="AF8" s="5"/>
    </row>
    <row r="9">
      <c r="A9" s="4">
        <v>1.503960366E9</v>
      </c>
      <c r="B9" s="4">
        <v>42373.0</v>
      </c>
      <c r="C9" s="4">
        <v>12262.0</v>
      </c>
      <c r="D9" s="4" t="s">
        <v>59</v>
      </c>
      <c r="E9" s="4">
        <f t="shared" si="1"/>
        <v>7.87</v>
      </c>
      <c r="F9" s="4" t="s">
        <v>59</v>
      </c>
      <c r="G9" s="4">
        <f t="shared" si="2"/>
        <v>7.87</v>
      </c>
      <c r="H9" s="4">
        <v>0.0</v>
      </c>
      <c r="I9" s="4" t="s">
        <v>60</v>
      </c>
      <c r="J9" s="4">
        <f t="shared" si="3"/>
        <v>3.32</v>
      </c>
      <c r="K9" s="4" t="s">
        <v>61</v>
      </c>
      <c r="L9" s="4">
        <f t="shared" si="4"/>
        <v>0.83</v>
      </c>
      <c r="M9" s="4" t="s">
        <v>62</v>
      </c>
      <c r="N9" s="4">
        <f t="shared" si="5"/>
        <v>3.64</v>
      </c>
      <c r="O9" s="4">
        <v>0.0</v>
      </c>
      <c r="P9" s="4">
        <f t="shared" si="6"/>
        <v>0</v>
      </c>
      <c r="Q9" s="4">
        <v>47.0</v>
      </c>
      <c r="R9" s="4">
        <v>21.0</v>
      </c>
      <c r="S9" s="4">
        <v>200.0</v>
      </c>
      <c r="T9" s="4">
        <v>866.0</v>
      </c>
      <c r="U9" s="4">
        <v>1868.0</v>
      </c>
      <c r="V9" s="5"/>
      <c r="W9" s="9"/>
      <c r="X9" s="9"/>
      <c r="Y9" s="5"/>
      <c r="Z9" s="5"/>
      <c r="AA9" s="5"/>
      <c r="AB9" s="5"/>
      <c r="AC9" s="5"/>
      <c r="AD9" s="5"/>
      <c r="AE9" s="5"/>
      <c r="AF9" s="5"/>
    </row>
    <row r="10">
      <c r="A10" s="4">
        <v>1.503960366E9</v>
      </c>
      <c r="B10" s="4">
        <v>42404.0</v>
      </c>
      <c r="C10" s="4">
        <v>11248.0</v>
      </c>
      <c r="D10" s="4" t="s">
        <v>63</v>
      </c>
      <c r="E10" s="4">
        <f t="shared" si="1"/>
        <v>7.25</v>
      </c>
      <c r="F10" s="4" t="s">
        <v>63</v>
      </c>
      <c r="G10" s="4">
        <f t="shared" si="2"/>
        <v>7.25</v>
      </c>
      <c r="H10" s="4">
        <v>0.0</v>
      </c>
      <c r="I10" s="4">
        <v>3.0</v>
      </c>
      <c r="J10" s="4">
        <f t="shared" si="3"/>
        <v>3</v>
      </c>
      <c r="K10" s="4" t="s">
        <v>64</v>
      </c>
      <c r="L10" s="4">
        <f t="shared" si="4"/>
        <v>0.45</v>
      </c>
      <c r="M10" s="4" t="s">
        <v>65</v>
      </c>
      <c r="N10" s="4">
        <f t="shared" si="5"/>
        <v>3.74</v>
      </c>
      <c r="O10" s="4">
        <v>0.0</v>
      </c>
      <c r="P10" s="4">
        <f t="shared" si="6"/>
        <v>0</v>
      </c>
      <c r="Q10" s="4">
        <v>40.0</v>
      </c>
      <c r="R10" s="4">
        <v>11.0</v>
      </c>
      <c r="S10" s="4">
        <v>244.0</v>
      </c>
      <c r="T10" s="4">
        <v>636.0</v>
      </c>
      <c r="U10" s="4">
        <v>1843.0</v>
      </c>
      <c r="V10" s="5"/>
      <c r="W10" s="6"/>
      <c r="X10" s="7" t="s">
        <v>66</v>
      </c>
      <c r="Y10" s="5"/>
      <c r="Z10" s="5"/>
      <c r="AA10" s="5"/>
      <c r="AB10" s="5"/>
      <c r="AC10" s="5"/>
      <c r="AD10" s="5"/>
      <c r="AE10" s="5"/>
      <c r="AF10" s="5"/>
    </row>
    <row r="11">
      <c r="A11" s="4">
        <v>1.503960366E9</v>
      </c>
      <c r="B11" s="4">
        <v>42433.0</v>
      </c>
      <c r="C11" s="4">
        <v>10016.0</v>
      </c>
      <c r="D11" s="4" t="s">
        <v>67</v>
      </c>
      <c r="E11" s="4">
        <f t="shared" si="1"/>
        <v>6.37</v>
      </c>
      <c r="F11" s="4" t="s">
        <v>67</v>
      </c>
      <c r="G11" s="4">
        <f t="shared" si="2"/>
        <v>6.37</v>
      </c>
      <c r="H11" s="4">
        <v>0.0</v>
      </c>
      <c r="I11" s="4" t="s">
        <v>68</v>
      </c>
      <c r="J11" s="4">
        <f t="shared" si="3"/>
        <v>0.91</v>
      </c>
      <c r="K11" s="4" t="s">
        <v>69</v>
      </c>
      <c r="L11" s="4">
        <f t="shared" si="4"/>
        <v>1.28</v>
      </c>
      <c r="M11" s="4" t="s">
        <v>70</v>
      </c>
      <c r="N11" s="4">
        <f t="shared" si="5"/>
        <v>4.18</v>
      </c>
      <c r="O11" s="4">
        <v>0.0</v>
      </c>
      <c r="P11" s="4">
        <f t="shared" si="6"/>
        <v>0</v>
      </c>
      <c r="Q11" s="4">
        <v>15.0</v>
      </c>
      <c r="R11" s="4">
        <v>30.0</v>
      </c>
      <c r="S11" s="4">
        <v>314.0</v>
      </c>
      <c r="T11" s="4">
        <v>655.0</v>
      </c>
      <c r="U11" s="4">
        <v>1850.0</v>
      </c>
      <c r="V11" s="5"/>
      <c r="W11" s="7" t="s">
        <v>41</v>
      </c>
      <c r="X11" s="6">
        <f>AVERAGE(E2:E456)</f>
        <v>4.662043956</v>
      </c>
      <c r="Y11" s="5"/>
      <c r="Z11" s="5"/>
      <c r="AA11" s="5"/>
      <c r="AB11" s="5"/>
      <c r="AC11" s="5"/>
      <c r="AD11" s="5"/>
      <c r="AE11" s="5"/>
      <c r="AF11" s="5"/>
    </row>
    <row r="12">
      <c r="A12" s="4">
        <v>1.503960366E9</v>
      </c>
      <c r="B12" s="4">
        <v>42464.0</v>
      </c>
      <c r="C12" s="4">
        <v>14557.0</v>
      </c>
      <c r="D12" s="4" t="s">
        <v>71</v>
      </c>
      <c r="E12" s="4">
        <f t="shared" si="1"/>
        <v>9.8</v>
      </c>
      <c r="F12" s="4" t="s">
        <v>71</v>
      </c>
      <c r="G12" s="4">
        <f t="shared" si="2"/>
        <v>9.8</v>
      </c>
      <c r="H12" s="4">
        <v>0.0</v>
      </c>
      <c r="I12" s="4" t="s">
        <v>72</v>
      </c>
      <c r="J12" s="4">
        <f t="shared" si="3"/>
        <v>3.39</v>
      </c>
      <c r="K12" s="4" t="s">
        <v>73</v>
      </c>
      <c r="L12" s="4">
        <f t="shared" si="4"/>
        <v>0.7</v>
      </c>
      <c r="M12" s="4" t="s">
        <v>74</v>
      </c>
      <c r="N12" s="4">
        <f t="shared" si="5"/>
        <v>5.69</v>
      </c>
      <c r="O12" s="4">
        <v>0.0</v>
      </c>
      <c r="P12" s="4">
        <f t="shared" si="6"/>
        <v>0</v>
      </c>
      <c r="Q12" s="4">
        <v>43.0</v>
      </c>
      <c r="R12" s="4">
        <v>18.0</v>
      </c>
      <c r="S12" s="4">
        <v>285.0</v>
      </c>
      <c r="T12" s="4">
        <v>757.0</v>
      </c>
      <c r="U12" s="4">
        <v>2030.0</v>
      </c>
      <c r="V12" s="5"/>
      <c r="W12" s="7" t="s">
        <v>47</v>
      </c>
      <c r="X12" s="8">
        <f>MIN(E2:E456)</f>
        <v>0</v>
      </c>
      <c r="Y12" s="5"/>
      <c r="Z12" s="5"/>
      <c r="AA12" s="5"/>
      <c r="AB12" s="5"/>
      <c r="AC12" s="5"/>
      <c r="AD12" s="5"/>
      <c r="AE12" s="5"/>
      <c r="AF12" s="5"/>
    </row>
    <row r="13">
      <c r="A13" s="4">
        <v>1.503960366E9</v>
      </c>
      <c r="B13" s="4">
        <v>42494.0</v>
      </c>
      <c r="C13" s="4">
        <v>14844.0</v>
      </c>
      <c r="D13" s="4" t="s">
        <v>75</v>
      </c>
      <c r="E13" s="4">
        <f t="shared" si="1"/>
        <v>9.73</v>
      </c>
      <c r="F13" s="4" t="s">
        <v>75</v>
      </c>
      <c r="G13" s="4">
        <f t="shared" si="2"/>
        <v>9.73</v>
      </c>
      <c r="H13" s="4">
        <v>0.0</v>
      </c>
      <c r="I13" s="4" t="s">
        <v>76</v>
      </c>
      <c r="J13" s="4">
        <f t="shared" si="3"/>
        <v>2.94</v>
      </c>
      <c r="K13" s="4" t="s">
        <v>77</v>
      </c>
      <c r="L13" s="4">
        <f t="shared" si="4"/>
        <v>0.76</v>
      </c>
      <c r="M13" s="4" t="s">
        <v>78</v>
      </c>
      <c r="N13" s="4">
        <f t="shared" si="5"/>
        <v>6.04</v>
      </c>
      <c r="O13" s="4">
        <v>0.0</v>
      </c>
      <c r="P13" s="4">
        <f t="shared" si="6"/>
        <v>0</v>
      </c>
      <c r="Q13" s="4">
        <v>36.0</v>
      </c>
      <c r="R13" s="4">
        <v>18.0</v>
      </c>
      <c r="S13" s="4">
        <v>341.0</v>
      </c>
      <c r="T13" s="4">
        <v>736.0</v>
      </c>
      <c r="U13" s="4">
        <v>2083.0</v>
      </c>
      <c r="V13" s="5"/>
      <c r="W13" s="7" t="s">
        <v>53</v>
      </c>
      <c r="X13" s="6">
        <f>MAX(E2:E456)</f>
        <v>27.53</v>
      </c>
      <c r="Y13" s="5"/>
      <c r="Z13" s="5"/>
      <c r="AA13" s="5"/>
      <c r="AB13" s="5"/>
      <c r="AC13" s="5"/>
      <c r="AD13" s="5"/>
      <c r="AE13" s="5"/>
      <c r="AF13" s="5"/>
    </row>
    <row r="14">
      <c r="A14" s="4">
        <v>1.503960366E9</v>
      </c>
      <c r="B14" s="4">
        <v>42525.0</v>
      </c>
      <c r="C14" s="4">
        <v>11974.0</v>
      </c>
      <c r="D14" s="4" t="s">
        <v>79</v>
      </c>
      <c r="E14" s="4">
        <f t="shared" si="1"/>
        <v>7.67</v>
      </c>
      <c r="F14" s="4" t="s">
        <v>79</v>
      </c>
      <c r="G14" s="4">
        <f t="shared" si="2"/>
        <v>7.67</v>
      </c>
      <c r="H14" s="4">
        <v>0.0</v>
      </c>
      <c r="I14" s="4" t="s">
        <v>80</v>
      </c>
      <c r="J14" s="4">
        <f t="shared" si="3"/>
        <v>2.04</v>
      </c>
      <c r="K14" s="4" t="s">
        <v>81</v>
      </c>
      <c r="L14" s="4">
        <f t="shared" si="4"/>
        <v>0.48</v>
      </c>
      <c r="M14" s="4" t="s">
        <v>82</v>
      </c>
      <c r="N14" s="4">
        <f t="shared" si="5"/>
        <v>5.15</v>
      </c>
      <c r="O14" s="4">
        <v>0.0</v>
      </c>
      <c r="P14" s="4">
        <f t="shared" si="6"/>
        <v>0</v>
      </c>
      <c r="Q14" s="4">
        <v>27.0</v>
      </c>
      <c r="R14" s="4">
        <v>12.0</v>
      </c>
      <c r="S14" s="4">
        <v>228.0</v>
      </c>
      <c r="T14" s="4">
        <v>1173.0</v>
      </c>
      <c r="U14" s="4">
        <v>1861.0</v>
      </c>
      <c r="V14" s="5"/>
      <c r="W14" s="9"/>
      <c r="X14" s="9"/>
      <c r="Y14" s="5"/>
      <c r="Z14" s="5"/>
      <c r="AA14" s="5"/>
      <c r="AB14" s="5"/>
      <c r="AC14" s="5"/>
      <c r="AD14" s="5"/>
      <c r="AE14" s="5"/>
      <c r="AF14" s="5"/>
    </row>
    <row r="15">
      <c r="A15" s="4">
        <v>1.503960366E9</v>
      </c>
      <c r="B15" s="4">
        <v>42555.0</v>
      </c>
      <c r="C15" s="4">
        <v>10198.0</v>
      </c>
      <c r="D15" s="4" t="s">
        <v>83</v>
      </c>
      <c r="E15" s="4">
        <f t="shared" si="1"/>
        <v>6.44</v>
      </c>
      <c r="F15" s="4" t="s">
        <v>83</v>
      </c>
      <c r="G15" s="4">
        <f t="shared" si="2"/>
        <v>6.44</v>
      </c>
      <c r="H15" s="4">
        <v>0.0</v>
      </c>
      <c r="I15" s="4" t="s">
        <v>84</v>
      </c>
      <c r="J15" s="4">
        <f t="shared" si="3"/>
        <v>1.2</v>
      </c>
      <c r="K15" s="4" t="s">
        <v>39</v>
      </c>
      <c r="L15" s="4">
        <f t="shared" si="4"/>
        <v>0.79</v>
      </c>
      <c r="M15" s="4" t="s">
        <v>85</v>
      </c>
      <c r="N15" s="4">
        <f t="shared" si="5"/>
        <v>4.45</v>
      </c>
      <c r="O15" s="4">
        <v>0.0</v>
      </c>
      <c r="P15" s="4">
        <f t="shared" si="6"/>
        <v>0</v>
      </c>
      <c r="Q15" s="4">
        <v>17.0</v>
      </c>
      <c r="R15" s="4">
        <v>20.0</v>
      </c>
      <c r="S15" s="4">
        <v>195.0</v>
      </c>
      <c r="T15" s="4">
        <v>1208.0</v>
      </c>
      <c r="U15" s="4">
        <v>1755.0</v>
      </c>
      <c r="V15" s="5"/>
      <c r="W15" s="9"/>
      <c r="X15" s="9"/>
      <c r="Y15" s="5"/>
      <c r="Z15" s="5"/>
      <c r="AA15" s="5"/>
      <c r="AB15" s="5"/>
      <c r="AC15" s="5"/>
      <c r="AD15" s="5"/>
      <c r="AE15" s="5"/>
      <c r="AF15" s="5"/>
    </row>
    <row r="16">
      <c r="A16" s="4">
        <v>1.503960366E9</v>
      </c>
      <c r="B16" s="4">
        <v>42586.0</v>
      </c>
      <c r="C16" s="4">
        <v>12521.0</v>
      </c>
      <c r="D16" s="4" t="s">
        <v>86</v>
      </c>
      <c r="E16" s="4">
        <f t="shared" si="1"/>
        <v>7.94</v>
      </c>
      <c r="F16" s="4" t="s">
        <v>86</v>
      </c>
      <c r="G16" s="4">
        <f t="shared" si="2"/>
        <v>7.94</v>
      </c>
      <c r="H16" s="4">
        <v>0.0</v>
      </c>
      <c r="I16" s="4" t="s">
        <v>87</v>
      </c>
      <c r="J16" s="4">
        <f t="shared" si="3"/>
        <v>3.31</v>
      </c>
      <c r="K16" s="4" t="s">
        <v>88</v>
      </c>
      <c r="L16" s="4">
        <f t="shared" si="4"/>
        <v>0.9</v>
      </c>
      <c r="M16" s="4" t="s">
        <v>65</v>
      </c>
      <c r="N16" s="4">
        <f t="shared" si="5"/>
        <v>3.74</v>
      </c>
      <c r="O16" s="4">
        <v>0.0</v>
      </c>
      <c r="P16" s="4">
        <f t="shared" si="6"/>
        <v>0</v>
      </c>
      <c r="Q16" s="4">
        <v>46.0</v>
      </c>
      <c r="R16" s="4">
        <v>22.0</v>
      </c>
      <c r="S16" s="4">
        <v>212.0</v>
      </c>
      <c r="T16" s="4">
        <v>1160.0</v>
      </c>
      <c r="U16" s="4">
        <v>1895.0</v>
      </c>
      <c r="V16" s="5"/>
      <c r="W16" s="6"/>
      <c r="X16" s="7" t="s">
        <v>16</v>
      </c>
      <c r="Y16" s="5"/>
      <c r="Z16" s="5"/>
      <c r="AA16" s="5"/>
      <c r="AB16" s="5"/>
      <c r="AC16" s="5"/>
      <c r="AD16" s="5"/>
      <c r="AE16" s="5"/>
      <c r="AF16" s="5"/>
    </row>
    <row r="17">
      <c r="A17" s="4">
        <v>1.503960366E9</v>
      </c>
      <c r="B17" s="4">
        <v>42617.0</v>
      </c>
      <c r="C17" s="4">
        <v>12432.0</v>
      </c>
      <c r="D17" s="4" t="s">
        <v>89</v>
      </c>
      <c r="E17" s="4">
        <f t="shared" si="1"/>
        <v>8.1</v>
      </c>
      <c r="F17" s="4" t="s">
        <v>89</v>
      </c>
      <c r="G17" s="4">
        <f t="shared" si="2"/>
        <v>8.1</v>
      </c>
      <c r="H17" s="4">
        <v>0.0</v>
      </c>
      <c r="I17" s="4" t="s">
        <v>90</v>
      </c>
      <c r="J17" s="4">
        <f t="shared" si="3"/>
        <v>2.59</v>
      </c>
      <c r="K17" s="4" t="s">
        <v>91</v>
      </c>
      <c r="L17" s="4">
        <f t="shared" si="4"/>
        <v>0.59</v>
      </c>
      <c r="M17" s="4" t="s">
        <v>92</v>
      </c>
      <c r="N17" s="4">
        <f t="shared" si="5"/>
        <v>4.92</v>
      </c>
      <c r="O17" s="4">
        <v>0.0</v>
      </c>
      <c r="P17" s="4">
        <f t="shared" si="6"/>
        <v>0</v>
      </c>
      <c r="Q17" s="4">
        <v>32.0</v>
      </c>
      <c r="R17" s="4">
        <v>15.0</v>
      </c>
      <c r="S17" s="4">
        <v>248.0</v>
      </c>
      <c r="T17" s="4">
        <v>738.0</v>
      </c>
      <c r="U17" s="4">
        <v>1883.0</v>
      </c>
      <c r="V17" s="5"/>
      <c r="W17" s="7" t="s">
        <v>41</v>
      </c>
      <c r="X17" s="6">
        <f>AVERAGE(Q2:Q456)</f>
        <v>16.6967033</v>
      </c>
      <c r="Y17" s="5"/>
      <c r="Z17" s="5"/>
      <c r="AA17" s="5"/>
      <c r="AB17" s="5"/>
      <c r="AC17" s="5"/>
      <c r="AD17" s="5"/>
      <c r="AE17" s="5"/>
      <c r="AF17" s="5"/>
    </row>
    <row r="18">
      <c r="A18" s="4">
        <v>1.503960366E9</v>
      </c>
      <c r="B18" s="4">
        <v>42647.0</v>
      </c>
      <c r="C18" s="4">
        <v>10057.0</v>
      </c>
      <c r="D18" s="4" t="s">
        <v>93</v>
      </c>
      <c r="E18" s="4">
        <f t="shared" si="1"/>
        <v>6.98</v>
      </c>
      <c r="F18" s="4" t="s">
        <v>93</v>
      </c>
      <c r="G18" s="4">
        <f t="shared" si="2"/>
        <v>6.98</v>
      </c>
      <c r="H18" s="4">
        <v>0.0</v>
      </c>
      <c r="I18" s="4">
        <v>4.0</v>
      </c>
      <c r="J18" s="4">
        <f t="shared" si="3"/>
        <v>4</v>
      </c>
      <c r="K18" s="4" t="s">
        <v>57</v>
      </c>
      <c r="L18" s="4">
        <f t="shared" si="4"/>
        <v>0.49</v>
      </c>
      <c r="M18" s="4" t="s">
        <v>94</v>
      </c>
      <c r="N18" s="4">
        <f t="shared" si="5"/>
        <v>2.48</v>
      </c>
      <c r="O18" s="4">
        <v>0.0</v>
      </c>
      <c r="P18" s="4">
        <f t="shared" si="6"/>
        <v>0</v>
      </c>
      <c r="Q18" s="4">
        <v>44.0</v>
      </c>
      <c r="R18" s="4">
        <v>13.0</v>
      </c>
      <c r="S18" s="4">
        <v>168.0</v>
      </c>
      <c r="T18" s="4">
        <v>737.0</v>
      </c>
      <c r="U18" s="4">
        <v>1755.0</v>
      </c>
      <c r="V18" s="5"/>
      <c r="W18" s="7" t="s">
        <v>47</v>
      </c>
      <c r="X18" s="8">
        <f>MIN(Q2:Q456)</f>
        <v>0</v>
      </c>
      <c r="Y18" s="5"/>
      <c r="Z18" s="5"/>
      <c r="AA18" s="5"/>
      <c r="AB18" s="5"/>
      <c r="AC18" s="5"/>
      <c r="AD18" s="5"/>
      <c r="AE18" s="5"/>
      <c r="AF18" s="5"/>
    </row>
    <row r="19">
      <c r="A19" s="4">
        <v>1.503960366E9</v>
      </c>
      <c r="B19" s="4">
        <v>42678.0</v>
      </c>
      <c r="C19" s="4">
        <v>10990.0</v>
      </c>
      <c r="D19" s="4" t="s">
        <v>95</v>
      </c>
      <c r="E19" s="4">
        <f t="shared" si="1"/>
        <v>7.26</v>
      </c>
      <c r="F19" s="4" t="s">
        <v>95</v>
      </c>
      <c r="G19" s="4">
        <f t="shared" si="2"/>
        <v>7.26</v>
      </c>
      <c r="H19" s="4">
        <v>0.0</v>
      </c>
      <c r="I19" s="4" t="s">
        <v>80</v>
      </c>
      <c r="J19" s="4">
        <f t="shared" si="3"/>
        <v>2.04</v>
      </c>
      <c r="K19" s="4" t="s">
        <v>96</v>
      </c>
      <c r="L19" s="4">
        <f t="shared" si="4"/>
        <v>0.57</v>
      </c>
      <c r="M19" s="4" t="s">
        <v>97</v>
      </c>
      <c r="N19" s="4">
        <f t="shared" si="5"/>
        <v>4.65</v>
      </c>
      <c r="O19" s="4">
        <v>0.0</v>
      </c>
      <c r="P19" s="4">
        <f t="shared" si="6"/>
        <v>0</v>
      </c>
      <c r="Q19" s="4">
        <v>26.0</v>
      </c>
      <c r="R19" s="4">
        <v>14.0</v>
      </c>
      <c r="S19" s="4">
        <v>216.0</v>
      </c>
      <c r="T19" s="4">
        <v>855.0</v>
      </c>
      <c r="U19" s="4">
        <v>1811.0</v>
      </c>
      <c r="V19" s="5"/>
      <c r="W19" s="7" t="s">
        <v>53</v>
      </c>
      <c r="X19" s="6">
        <f>MAX(Q2:Q456)</f>
        <v>202</v>
      </c>
      <c r="Y19" s="5"/>
      <c r="Z19" s="5"/>
      <c r="AA19" s="5"/>
      <c r="AB19" s="5"/>
      <c r="AC19" s="5"/>
      <c r="AD19" s="5"/>
      <c r="AE19" s="5"/>
      <c r="AF19" s="5"/>
    </row>
    <row r="20">
      <c r="A20" s="4">
        <v>1.503960366E9</v>
      </c>
      <c r="B20" s="4">
        <v>42708.0</v>
      </c>
      <c r="C20" s="4">
        <v>224.0</v>
      </c>
      <c r="D20" s="4" t="s">
        <v>98</v>
      </c>
      <c r="E20" s="4">
        <f t="shared" si="1"/>
        <v>0.14</v>
      </c>
      <c r="F20" s="4" t="s">
        <v>98</v>
      </c>
      <c r="G20" s="4">
        <f t="shared" si="2"/>
        <v>0.14</v>
      </c>
      <c r="H20" s="4">
        <v>0.0</v>
      </c>
      <c r="I20" s="4">
        <v>0.0</v>
      </c>
      <c r="J20" s="4">
        <f t="shared" si="3"/>
        <v>0</v>
      </c>
      <c r="K20" s="4">
        <v>0.0</v>
      </c>
      <c r="L20" s="4">
        <f t="shared" si="4"/>
        <v>0</v>
      </c>
      <c r="M20" s="4" t="s">
        <v>99</v>
      </c>
      <c r="N20" s="4">
        <f t="shared" si="5"/>
        <v>0.13</v>
      </c>
      <c r="O20" s="4">
        <v>0.0</v>
      </c>
      <c r="P20" s="4">
        <f t="shared" si="6"/>
        <v>0</v>
      </c>
      <c r="Q20" s="4">
        <v>0.0</v>
      </c>
      <c r="R20" s="4">
        <v>0.0</v>
      </c>
      <c r="S20" s="4">
        <v>9.0</v>
      </c>
      <c r="T20" s="4">
        <v>32.0</v>
      </c>
      <c r="U20" s="4">
        <v>50.0</v>
      </c>
      <c r="V20" s="5"/>
      <c r="W20" s="9"/>
      <c r="X20" s="9"/>
      <c r="Y20" s="5"/>
      <c r="Z20" s="5"/>
      <c r="AA20" s="5"/>
      <c r="AB20" s="5"/>
      <c r="AC20" s="5"/>
      <c r="AD20" s="5"/>
      <c r="AE20" s="5"/>
      <c r="AF20" s="5"/>
    </row>
    <row r="21">
      <c r="A21" s="4">
        <v>1.624580081E9</v>
      </c>
      <c r="B21" s="4" t="s">
        <v>21</v>
      </c>
      <c r="C21" s="4">
        <v>1810.0</v>
      </c>
      <c r="D21" s="4" t="s">
        <v>100</v>
      </c>
      <c r="E21" s="4">
        <f t="shared" si="1"/>
        <v>1.18</v>
      </c>
      <c r="F21" s="4" t="s">
        <v>100</v>
      </c>
      <c r="G21" s="4">
        <f t="shared" si="2"/>
        <v>1.18</v>
      </c>
      <c r="H21" s="4">
        <v>0.0</v>
      </c>
      <c r="I21" s="4">
        <v>0.0</v>
      </c>
      <c r="J21" s="4">
        <f t="shared" si="3"/>
        <v>0</v>
      </c>
      <c r="K21" s="4">
        <v>0.0</v>
      </c>
      <c r="L21" s="4">
        <f t="shared" si="4"/>
        <v>0</v>
      </c>
      <c r="M21" s="4" t="s">
        <v>101</v>
      </c>
      <c r="N21" s="4">
        <f t="shared" si="5"/>
        <v>1.13</v>
      </c>
      <c r="O21" s="4" t="s">
        <v>102</v>
      </c>
      <c r="P21" s="4">
        <f t="shared" si="6"/>
        <v>0.01</v>
      </c>
      <c r="Q21" s="4">
        <v>0.0</v>
      </c>
      <c r="R21" s="4">
        <v>0.0</v>
      </c>
      <c r="S21" s="4">
        <v>121.0</v>
      </c>
      <c r="T21" s="4">
        <v>1319.0</v>
      </c>
      <c r="U21" s="4">
        <v>1373.0</v>
      </c>
      <c r="V21" s="5"/>
      <c r="W21" s="9"/>
      <c r="X21" s="9"/>
      <c r="Y21" s="5"/>
      <c r="Z21" s="5"/>
      <c r="AA21" s="5"/>
      <c r="AB21" s="5"/>
      <c r="AC21" s="5"/>
      <c r="AD21" s="5"/>
      <c r="AE21" s="5"/>
      <c r="AF21" s="5"/>
    </row>
    <row r="22">
      <c r="A22" s="4">
        <v>1.624580081E9</v>
      </c>
      <c r="B22" s="4" t="s">
        <v>26</v>
      </c>
      <c r="C22" s="4">
        <v>815.0</v>
      </c>
      <c r="D22" s="4" t="s">
        <v>103</v>
      </c>
      <c r="E22" s="4">
        <f t="shared" si="1"/>
        <v>0.53</v>
      </c>
      <c r="F22" s="4" t="s">
        <v>103</v>
      </c>
      <c r="G22" s="4">
        <f t="shared" si="2"/>
        <v>0.53</v>
      </c>
      <c r="H22" s="4">
        <v>0.0</v>
      </c>
      <c r="I22" s="4">
        <v>0.0</v>
      </c>
      <c r="J22" s="4">
        <f t="shared" si="3"/>
        <v>0</v>
      </c>
      <c r="K22" s="4">
        <v>0.0</v>
      </c>
      <c r="L22" s="4">
        <f t="shared" si="4"/>
        <v>0</v>
      </c>
      <c r="M22" s="4" t="s">
        <v>103</v>
      </c>
      <c r="N22" s="4">
        <f t="shared" si="5"/>
        <v>0.53</v>
      </c>
      <c r="O22" s="4">
        <v>0.0</v>
      </c>
      <c r="P22" s="4">
        <f t="shared" si="6"/>
        <v>0</v>
      </c>
      <c r="Q22" s="4">
        <v>0.0</v>
      </c>
      <c r="R22" s="4">
        <v>0.0</v>
      </c>
      <c r="S22" s="4">
        <v>47.0</v>
      </c>
      <c r="T22" s="4">
        <v>1393.0</v>
      </c>
      <c r="U22" s="4">
        <v>1264.0</v>
      </c>
      <c r="V22" s="5"/>
      <c r="W22" s="6"/>
      <c r="X22" s="7" t="s">
        <v>104</v>
      </c>
      <c r="Y22" s="5"/>
      <c r="Z22" s="5"/>
      <c r="AA22" s="5"/>
      <c r="AB22" s="5"/>
      <c r="AC22" s="5"/>
      <c r="AD22" s="5"/>
      <c r="AE22" s="5"/>
      <c r="AF22" s="5"/>
    </row>
    <row r="23">
      <c r="A23" s="4">
        <v>1.624580081E9</v>
      </c>
      <c r="B23" s="4" t="s">
        <v>31</v>
      </c>
      <c r="C23" s="4">
        <v>1985.0</v>
      </c>
      <c r="D23" s="4" t="s">
        <v>105</v>
      </c>
      <c r="E23" s="4">
        <f t="shared" si="1"/>
        <v>1.29</v>
      </c>
      <c r="F23" s="4" t="s">
        <v>105</v>
      </c>
      <c r="G23" s="4">
        <f t="shared" si="2"/>
        <v>1.29</v>
      </c>
      <c r="H23" s="4">
        <v>0.0</v>
      </c>
      <c r="I23" s="4">
        <v>0.0</v>
      </c>
      <c r="J23" s="4">
        <f t="shared" si="3"/>
        <v>0</v>
      </c>
      <c r="K23" s="4">
        <v>0.0</v>
      </c>
      <c r="L23" s="4">
        <f t="shared" si="4"/>
        <v>0</v>
      </c>
      <c r="M23" s="4" t="s">
        <v>69</v>
      </c>
      <c r="N23" s="4">
        <f t="shared" si="5"/>
        <v>1.28</v>
      </c>
      <c r="O23" s="4" t="s">
        <v>102</v>
      </c>
      <c r="P23" s="4">
        <f t="shared" si="6"/>
        <v>0.01</v>
      </c>
      <c r="Q23" s="4">
        <v>0.0</v>
      </c>
      <c r="R23" s="4">
        <v>0.0</v>
      </c>
      <c r="S23" s="4">
        <v>112.0</v>
      </c>
      <c r="T23" s="4">
        <v>1328.0</v>
      </c>
      <c r="U23" s="4">
        <v>1350.0</v>
      </c>
      <c r="V23" s="5"/>
      <c r="W23" s="7" t="s">
        <v>41</v>
      </c>
      <c r="X23" s="6">
        <f>AVERAGE(U2:U456)</f>
        <v>2192.468132</v>
      </c>
      <c r="Y23" s="5"/>
      <c r="Z23" s="5"/>
      <c r="AA23" s="5"/>
      <c r="AB23" s="5"/>
      <c r="AC23" s="5"/>
      <c r="AD23" s="5"/>
      <c r="AE23" s="5"/>
      <c r="AF23" s="5"/>
    </row>
    <row r="24">
      <c r="A24" s="4">
        <v>1.624580081E9</v>
      </c>
      <c r="B24" s="4" t="s">
        <v>36</v>
      </c>
      <c r="C24" s="4">
        <v>1905.0</v>
      </c>
      <c r="D24" s="4" t="s">
        <v>106</v>
      </c>
      <c r="E24" s="4">
        <f t="shared" si="1"/>
        <v>1.24</v>
      </c>
      <c r="F24" s="4" t="s">
        <v>106</v>
      </c>
      <c r="G24" s="4">
        <f t="shared" si="2"/>
        <v>1.24</v>
      </c>
      <c r="H24" s="4">
        <v>0.0</v>
      </c>
      <c r="I24" s="4">
        <v>0.0</v>
      </c>
      <c r="J24" s="4">
        <f t="shared" si="3"/>
        <v>0</v>
      </c>
      <c r="K24" s="4">
        <v>0.0</v>
      </c>
      <c r="L24" s="4">
        <f t="shared" si="4"/>
        <v>0</v>
      </c>
      <c r="M24" s="4" t="s">
        <v>106</v>
      </c>
      <c r="N24" s="4">
        <f t="shared" si="5"/>
        <v>1.24</v>
      </c>
      <c r="O24" s="4">
        <v>0.0</v>
      </c>
      <c r="P24" s="4">
        <f t="shared" si="6"/>
        <v>0</v>
      </c>
      <c r="Q24" s="4">
        <v>0.0</v>
      </c>
      <c r="R24" s="4">
        <v>0.0</v>
      </c>
      <c r="S24" s="4">
        <v>95.0</v>
      </c>
      <c r="T24" s="4">
        <v>1345.0</v>
      </c>
      <c r="U24" s="4">
        <v>1342.0</v>
      </c>
      <c r="V24" s="5"/>
      <c r="W24" s="7" t="s">
        <v>47</v>
      </c>
      <c r="X24" s="8">
        <f>MIN(U2:U456)</f>
        <v>0</v>
      </c>
      <c r="Y24" s="5"/>
      <c r="Z24" s="5"/>
      <c r="AA24" s="5"/>
      <c r="AB24" s="5"/>
      <c r="AC24" s="5"/>
      <c r="AD24" s="5"/>
      <c r="AE24" s="5"/>
      <c r="AF24" s="5"/>
    </row>
    <row r="25">
      <c r="A25" s="4">
        <v>1.624580081E9</v>
      </c>
      <c r="B25" s="4" t="s">
        <v>42</v>
      </c>
      <c r="C25" s="4">
        <v>1552.0</v>
      </c>
      <c r="D25" s="4" t="s">
        <v>107</v>
      </c>
      <c r="E25" s="4">
        <f t="shared" si="1"/>
        <v>1.01</v>
      </c>
      <c r="F25" s="4" t="s">
        <v>107</v>
      </c>
      <c r="G25" s="4">
        <f t="shared" si="2"/>
        <v>1.01</v>
      </c>
      <c r="H25" s="4">
        <v>0.0</v>
      </c>
      <c r="I25" s="4">
        <v>0.0</v>
      </c>
      <c r="J25" s="4">
        <f t="shared" si="3"/>
        <v>0</v>
      </c>
      <c r="K25" s="4">
        <v>0.0</v>
      </c>
      <c r="L25" s="4">
        <f t="shared" si="4"/>
        <v>0</v>
      </c>
      <c r="M25" s="4">
        <v>1.0</v>
      </c>
      <c r="N25" s="4">
        <f t="shared" si="5"/>
        <v>1</v>
      </c>
      <c r="O25" s="4">
        <v>0.0</v>
      </c>
      <c r="P25" s="4">
        <f t="shared" si="6"/>
        <v>0</v>
      </c>
      <c r="Q25" s="4">
        <v>0.0</v>
      </c>
      <c r="R25" s="4">
        <v>0.0</v>
      </c>
      <c r="S25" s="4">
        <v>66.0</v>
      </c>
      <c r="T25" s="4">
        <v>1374.0</v>
      </c>
      <c r="U25" s="4">
        <v>1300.0</v>
      </c>
      <c r="V25" s="5"/>
      <c r="W25" s="7" t="s">
        <v>53</v>
      </c>
      <c r="X25" s="6">
        <f>MAX(U2:U456)</f>
        <v>4562</v>
      </c>
      <c r="Y25" s="5"/>
      <c r="Z25" s="5"/>
      <c r="AA25" s="5"/>
      <c r="AB25" s="5"/>
      <c r="AC25" s="5"/>
      <c r="AD25" s="5"/>
      <c r="AE25" s="5"/>
      <c r="AF25" s="5"/>
    </row>
    <row r="26">
      <c r="A26" s="4">
        <v>1.624580081E9</v>
      </c>
      <c r="B26" s="4" t="s">
        <v>48</v>
      </c>
      <c r="C26" s="4">
        <v>1675.0</v>
      </c>
      <c r="D26" s="4" t="s">
        <v>45</v>
      </c>
      <c r="E26" s="4">
        <f t="shared" si="1"/>
        <v>1.09</v>
      </c>
      <c r="F26" s="4" t="s">
        <v>45</v>
      </c>
      <c r="G26" s="4">
        <f t="shared" si="2"/>
        <v>1.09</v>
      </c>
      <c r="H26" s="4">
        <v>0.0</v>
      </c>
      <c r="I26" s="4">
        <v>0.0</v>
      </c>
      <c r="J26" s="4">
        <f t="shared" si="3"/>
        <v>0</v>
      </c>
      <c r="K26" s="4">
        <v>0.0</v>
      </c>
      <c r="L26" s="4">
        <f t="shared" si="4"/>
        <v>0</v>
      </c>
      <c r="M26" s="4" t="s">
        <v>45</v>
      </c>
      <c r="N26" s="4">
        <f t="shared" si="5"/>
        <v>1.09</v>
      </c>
      <c r="O26" s="4">
        <v>0.0</v>
      </c>
      <c r="P26" s="4">
        <f t="shared" si="6"/>
        <v>0</v>
      </c>
      <c r="Q26" s="4">
        <v>0.0</v>
      </c>
      <c r="R26" s="4">
        <v>0.0</v>
      </c>
      <c r="S26" s="4">
        <v>84.0</v>
      </c>
      <c r="T26" s="4">
        <v>1356.0</v>
      </c>
      <c r="U26" s="4">
        <v>1313.0</v>
      </c>
      <c r="V26" s="5"/>
      <c r="W26" s="9"/>
      <c r="X26" s="9"/>
      <c r="Y26" s="5"/>
      <c r="Z26" s="5"/>
      <c r="AA26" s="5"/>
      <c r="AB26" s="5"/>
      <c r="AC26" s="5"/>
      <c r="AD26" s="5"/>
      <c r="AE26" s="5"/>
      <c r="AF26" s="5"/>
    </row>
    <row r="27">
      <c r="A27" s="4">
        <v>1.624580081E9</v>
      </c>
      <c r="B27" s="4" t="s">
        <v>54</v>
      </c>
      <c r="C27" s="4">
        <v>4506.0</v>
      </c>
      <c r="D27" s="4" t="s">
        <v>108</v>
      </c>
      <c r="E27" s="4">
        <f t="shared" si="1"/>
        <v>2.93</v>
      </c>
      <c r="F27" s="4" t="s">
        <v>108</v>
      </c>
      <c r="G27" s="4">
        <f t="shared" si="2"/>
        <v>2.93</v>
      </c>
      <c r="H27" s="4">
        <v>0.0</v>
      </c>
      <c r="I27" s="4" t="s">
        <v>51</v>
      </c>
      <c r="J27" s="4">
        <f t="shared" si="3"/>
        <v>0.51</v>
      </c>
      <c r="K27" s="4" t="s">
        <v>109</v>
      </c>
      <c r="L27" s="4">
        <f t="shared" si="4"/>
        <v>0.27</v>
      </c>
      <c r="M27" s="4" t="s">
        <v>110</v>
      </c>
      <c r="N27" s="4">
        <f t="shared" si="5"/>
        <v>2.15</v>
      </c>
      <c r="O27" s="4" t="s">
        <v>102</v>
      </c>
      <c r="P27" s="4">
        <f t="shared" si="6"/>
        <v>0.01</v>
      </c>
      <c r="Q27" s="4">
        <v>7.0</v>
      </c>
      <c r="R27" s="4">
        <v>4.0</v>
      </c>
      <c r="S27" s="4">
        <v>144.0</v>
      </c>
      <c r="T27" s="4">
        <v>1285.0</v>
      </c>
      <c r="U27" s="4">
        <v>1498.0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4">
        <v>1.624580081E9</v>
      </c>
      <c r="B28" s="4">
        <v>42373.0</v>
      </c>
      <c r="C28" s="4">
        <v>9218.0</v>
      </c>
      <c r="D28" s="4" t="s">
        <v>111</v>
      </c>
      <c r="E28" s="4">
        <f t="shared" si="1"/>
        <v>5.99</v>
      </c>
      <c r="F28" s="4" t="s">
        <v>111</v>
      </c>
      <c r="G28" s="4">
        <f t="shared" si="2"/>
        <v>5.99</v>
      </c>
      <c r="H28" s="4">
        <v>0.0</v>
      </c>
      <c r="I28" s="4">
        <v>0.0</v>
      </c>
      <c r="J28" s="4">
        <f t="shared" si="3"/>
        <v>0</v>
      </c>
      <c r="K28" s="4">
        <v>0.0</v>
      </c>
      <c r="L28" s="4">
        <f t="shared" si="4"/>
        <v>0</v>
      </c>
      <c r="M28" s="4" t="s">
        <v>112</v>
      </c>
      <c r="N28" s="4">
        <f t="shared" si="5"/>
        <v>5.97</v>
      </c>
      <c r="O28" s="4" t="s">
        <v>102</v>
      </c>
      <c r="P28" s="4">
        <f t="shared" si="6"/>
        <v>0.01</v>
      </c>
      <c r="Q28" s="4">
        <v>0.0</v>
      </c>
      <c r="R28" s="4">
        <v>0.0</v>
      </c>
      <c r="S28" s="4">
        <v>221.0</v>
      </c>
      <c r="T28" s="4">
        <v>1219.0</v>
      </c>
      <c r="U28" s="4">
        <v>1541.0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4">
        <v>1.624580081E9</v>
      </c>
      <c r="B29" s="4">
        <v>42404.0</v>
      </c>
      <c r="C29" s="4">
        <v>1556.0</v>
      </c>
      <c r="D29" s="4" t="s">
        <v>107</v>
      </c>
      <c r="E29" s="4">
        <f t="shared" si="1"/>
        <v>1.01</v>
      </c>
      <c r="F29" s="4" t="s">
        <v>107</v>
      </c>
      <c r="G29" s="4">
        <f t="shared" si="2"/>
        <v>1.01</v>
      </c>
      <c r="H29" s="4">
        <v>0.0</v>
      </c>
      <c r="I29" s="4">
        <v>0.0</v>
      </c>
      <c r="J29" s="4">
        <f t="shared" si="3"/>
        <v>0</v>
      </c>
      <c r="K29" s="4">
        <v>0.0</v>
      </c>
      <c r="L29" s="4">
        <f t="shared" si="4"/>
        <v>0</v>
      </c>
      <c r="M29" s="4" t="s">
        <v>107</v>
      </c>
      <c r="N29" s="4">
        <f t="shared" si="5"/>
        <v>1.01</v>
      </c>
      <c r="O29" s="4" t="s">
        <v>102</v>
      </c>
      <c r="P29" s="4">
        <f t="shared" si="6"/>
        <v>0.01</v>
      </c>
      <c r="Q29" s="4">
        <v>0.0</v>
      </c>
      <c r="R29" s="4">
        <v>0.0</v>
      </c>
      <c r="S29" s="4">
        <v>88.0</v>
      </c>
      <c r="T29" s="4">
        <v>1352.0</v>
      </c>
      <c r="U29" s="4">
        <v>1327.0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4">
        <v>1.624580081E9</v>
      </c>
      <c r="B30" s="4">
        <v>42433.0</v>
      </c>
      <c r="C30" s="4">
        <v>2910.0</v>
      </c>
      <c r="D30" s="4" t="s">
        <v>113</v>
      </c>
      <c r="E30" s="4">
        <f t="shared" si="1"/>
        <v>1.89</v>
      </c>
      <c r="F30" s="4" t="s">
        <v>113</v>
      </c>
      <c r="G30" s="4">
        <f t="shared" si="2"/>
        <v>1.89</v>
      </c>
      <c r="H30" s="4">
        <v>0.0</v>
      </c>
      <c r="I30" s="4">
        <v>0.0</v>
      </c>
      <c r="J30" s="4">
        <f t="shared" si="3"/>
        <v>0</v>
      </c>
      <c r="K30" s="4">
        <v>0.0</v>
      </c>
      <c r="L30" s="4">
        <f t="shared" si="4"/>
        <v>0</v>
      </c>
      <c r="M30" s="4" t="s">
        <v>114</v>
      </c>
      <c r="N30" s="4">
        <f t="shared" si="5"/>
        <v>1.88</v>
      </c>
      <c r="O30" s="4" t="s">
        <v>102</v>
      </c>
      <c r="P30" s="4">
        <f t="shared" si="6"/>
        <v>0.01</v>
      </c>
      <c r="Q30" s="4">
        <v>0.0</v>
      </c>
      <c r="R30" s="4">
        <v>0.0</v>
      </c>
      <c r="S30" s="4">
        <v>157.0</v>
      </c>
      <c r="T30" s="4">
        <v>1283.0</v>
      </c>
      <c r="U30" s="4">
        <v>1452.0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4">
        <v>1.624580081E9</v>
      </c>
      <c r="B31" s="4">
        <v>42464.0</v>
      </c>
      <c r="C31" s="4">
        <v>18464.0</v>
      </c>
      <c r="D31" s="4">
        <v>12.0</v>
      </c>
      <c r="E31" s="4">
        <f t="shared" si="1"/>
        <v>12</v>
      </c>
      <c r="F31" s="4">
        <v>12.0</v>
      </c>
      <c r="G31" s="4">
        <f t="shared" si="2"/>
        <v>12</v>
      </c>
      <c r="H31" s="4">
        <v>0.0</v>
      </c>
      <c r="I31" s="4">
        <v>0.0</v>
      </c>
      <c r="J31" s="4">
        <f t="shared" si="3"/>
        <v>0</v>
      </c>
      <c r="K31" s="4">
        <v>0.0</v>
      </c>
      <c r="L31" s="4">
        <f t="shared" si="4"/>
        <v>0</v>
      </c>
      <c r="M31" s="4">
        <v>12.0</v>
      </c>
      <c r="N31" s="4">
        <f t="shared" si="5"/>
        <v>12</v>
      </c>
      <c r="O31" s="4">
        <v>0.0</v>
      </c>
      <c r="P31" s="4">
        <f t="shared" si="6"/>
        <v>0</v>
      </c>
      <c r="Q31" s="4">
        <v>0.0</v>
      </c>
      <c r="R31" s="4">
        <v>0.0</v>
      </c>
      <c r="S31" s="4">
        <v>270.0</v>
      </c>
      <c r="T31" s="4">
        <v>1170.0</v>
      </c>
      <c r="U31" s="4">
        <v>1574.0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4">
        <v>1.624580081E9</v>
      </c>
      <c r="B32" s="4">
        <v>42494.0</v>
      </c>
      <c r="C32" s="4">
        <v>1335.0</v>
      </c>
      <c r="D32" s="4" t="s">
        <v>115</v>
      </c>
      <c r="E32" s="4">
        <f t="shared" si="1"/>
        <v>0.87</v>
      </c>
      <c r="F32" s="4" t="s">
        <v>115</v>
      </c>
      <c r="G32" s="4">
        <f t="shared" si="2"/>
        <v>0.87</v>
      </c>
      <c r="H32" s="4">
        <v>0.0</v>
      </c>
      <c r="I32" s="4">
        <v>0.0</v>
      </c>
      <c r="J32" s="4">
        <f t="shared" si="3"/>
        <v>0</v>
      </c>
      <c r="K32" s="4">
        <v>0.0</v>
      </c>
      <c r="L32" s="4">
        <f t="shared" si="4"/>
        <v>0</v>
      </c>
      <c r="M32" s="4" t="s">
        <v>115</v>
      </c>
      <c r="N32" s="4">
        <f t="shared" si="5"/>
        <v>0.87</v>
      </c>
      <c r="O32" s="4">
        <v>0.0</v>
      </c>
      <c r="P32" s="4">
        <f t="shared" si="6"/>
        <v>0</v>
      </c>
      <c r="Q32" s="4">
        <v>0.0</v>
      </c>
      <c r="R32" s="4">
        <v>0.0</v>
      </c>
      <c r="S32" s="4">
        <v>74.0</v>
      </c>
      <c r="T32" s="4">
        <v>1366.0</v>
      </c>
      <c r="U32" s="4">
        <v>1308.0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4">
        <v>1.624580081E9</v>
      </c>
      <c r="B33" s="4">
        <v>42525.0</v>
      </c>
      <c r="C33" s="4">
        <v>1004.0</v>
      </c>
      <c r="D33" s="4" t="s">
        <v>116</v>
      </c>
      <c r="E33" s="4">
        <f t="shared" si="1"/>
        <v>0.65</v>
      </c>
      <c r="F33" s="4" t="s">
        <v>116</v>
      </c>
      <c r="G33" s="4">
        <f t="shared" si="2"/>
        <v>0.65</v>
      </c>
      <c r="H33" s="4">
        <v>0.0</v>
      </c>
      <c r="I33" s="4">
        <v>0.0</v>
      </c>
      <c r="J33" s="4">
        <f t="shared" si="3"/>
        <v>0</v>
      </c>
      <c r="K33" s="4">
        <v>0.0</v>
      </c>
      <c r="L33" s="4">
        <f t="shared" si="4"/>
        <v>0</v>
      </c>
      <c r="M33" s="4" t="s">
        <v>116</v>
      </c>
      <c r="N33" s="4">
        <f t="shared" si="5"/>
        <v>0.65</v>
      </c>
      <c r="O33" s="4">
        <v>0.0</v>
      </c>
      <c r="P33" s="4">
        <f t="shared" si="6"/>
        <v>0</v>
      </c>
      <c r="Q33" s="4">
        <v>0.0</v>
      </c>
      <c r="R33" s="4">
        <v>0.0</v>
      </c>
      <c r="S33" s="4">
        <v>55.0</v>
      </c>
      <c r="T33" s="4">
        <v>1385.0</v>
      </c>
      <c r="U33" s="4">
        <v>1276.0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4">
        <v>1.624580081E9</v>
      </c>
      <c r="B34" s="4">
        <v>42555.0</v>
      </c>
      <c r="C34" s="4">
        <v>1111.0</v>
      </c>
      <c r="D34" s="4" t="s">
        <v>117</v>
      </c>
      <c r="E34" s="4">
        <f t="shared" si="1"/>
        <v>0.72</v>
      </c>
      <c r="F34" s="4" t="s">
        <v>117</v>
      </c>
      <c r="G34" s="4">
        <f t="shared" si="2"/>
        <v>0.72</v>
      </c>
      <c r="H34" s="4">
        <v>0.0</v>
      </c>
      <c r="I34" s="4">
        <v>0.0</v>
      </c>
      <c r="J34" s="4">
        <f t="shared" si="3"/>
        <v>0</v>
      </c>
      <c r="K34" s="4">
        <v>0.0</v>
      </c>
      <c r="L34" s="4">
        <f t="shared" si="4"/>
        <v>0</v>
      </c>
      <c r="M34" s="4" t="s">
        <v>117</v>
      </c>
      <c r="N34" s="4">
        <f t="shared" si="5"/>
        <v>0.72</v>
      </c>
      <c r="O34" s="4">
        <v>0.0</v>
      </c>
      <c r="P34" s="4">
        <f t="shared" si="6"/>
        <v>0</v>
      </c>
      <c r="Q34" s="4">
        <v>0.0</v>
      </c>
      <c r="R34" s="4">
        <v>0.0</v>
      </c>
      <c r="S34" s="4">
        <v>54.0</v>
      </c>
      <c r="T34" s="4">
        <v>1386.0</v>
      </c>
      <c r="U34" s="4">
        <v>1278.0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4">
        <v>1.624580081E9</v>
      </c>
      <c r="B35" s="4">
        <v>42586.0</v>
      </c>
      <c r="C35" s="4">
        <v>6344.0</v>
      </c>
      <c r="D35" s="4" t="s">
        <v>118</v>
      </c>
      <c r="E35" s="4">
        <f t="shared" si="1"/>
        <v>4.12</v>
      </c>
      <c r="F35" s="4" t="s">
        <v>118</v>
      </c>
      <c r="G35" s="4">
        <f t="shared" si="2"/>
        <v>4.12</v>
      </c>
      <c r="H35" s="4">
        <v>0.0</v>
      </c>
      <c r="I35" s="4">
        <v>0.0</v>
      </c>
      <c r="J35" s="4">
        <f t="shared" si="3"/>
        <v>0</v>
      </c>
      <c r="K35" s="4">
        <v>0.0</v>
      </c>
      <c r="L35" s="4">
        <f t="shared" si="4"/>
        <v>0</v>
      </c>
      <c r="M35" s="4" t="s">
        <v>119</v>
      </c>
      <c r="N35" s="4">
        <f t="shared" si="5"/>
        <v>4.1</v>
      </c>
      <c r="O35" s="4">
        <v>0.0</v>
      </c>
      <c r="P35" s="4">
        <f t="shared" si="6"/>
        <v>0</v>
      </c>
      <c r="Q35" s="4">
        <v>0.0</v>
      </c>
      <c r="R35" s="4">
        <v>0.0</v>
      </c>
      <c r="S35" s="4">
        <v>143.0</v>
      </c>
      <c r="T35" s="4">
        <v>1297.0</v>
      </c>
      <c r="U35" s="4">
        <v>1409.0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4">
        <v>1.624580081E9</v>
      </c>
      <c r="B36" s="4">
        <v>42617.0</v>
      </c>
      <c r="C36" s="4">
        <v>3572.0</v>
      </c>
      <c r="D36" s="4" t="s">
        <v>120</v>
      </c>
      <c r="E36" s="4">
        <f t="shared" si="1"/>
        <v>2.32</v>
      </c>
      <c r="F36" s="4" t="s">
        <v>120</v>
      </c>
      <c r="G36" s="4">
        <f t="shared" si="2"/>
        <v>2.32</v>
      </c>
      <c r="H36" s="4">
        <v>0.0</v>
      </c>
      <c r="I36" s="4">
        <v>0.0</v>
      </c>
      <c r="J36" s="4">
        <f t="shared" si="3"/>
        <v>0</v>
      </c>
      <c r="K36" s="4">
        <v>0.0</v>
      </c>
      <c r="L36" s="4">
        <f t="shared" si="4"/>
        <v>0</v>
      </c>
      <c r="M36" s="4" t="s">
        <v>56</v>
      </c>
      <c r="N36" s="4">
        <f t="shared" si="5"/>
        <v>2.29</v>
      </c>
      <c r="O36" s="4" t="s">
        <v>121</v>
      </c>
      <c r="P36" s="4">
        <f t="shared" si="6"/>
        <v>0.03</v>
      </c>
      <c r="Q36" s="4">
        <v>0.0</v>
      </c>
      <c r="R36" s="4">
        <v>0.0</v>
      </c>
      <c r="S36" s="4">
        <v>122.0</v>
      </c>
      <c r="T36" s="4">
        <v>1318.0</v>
      </c>
      <c r="U36" s="4">
        <v>1370.0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4">
        <v>1.624580081E9</v>
      </c>
      <c r="B37" s="4">
        <v>42647.0</v>
      </c>
      <c r="C37" s="4">
        <v>3910.0</v>
      </c>
      <c r="D37" s="4" t="s">
        <v>122</v>
      </c>
      <c r="E37" s="4">
        <f t="shared" si="1"/>
        <v>2.54</v>
      </c>
      <c r="F37" s="4" t="s">
        <v>122</v>
      </c>
      <c r="G37" s="4">
        <f t="shared" si="2"/>
        <v>2.54</v>
      </c>
      <c r="H37" s="4">
        <v>0.0</v>
      </c>
      <c r="I37" s="4" t="s">
        <v>123</v>
      </c>
      <c r="J37" s="4">
        <f t="shared" si="3"/>
        <v>0.47</v>
      </c>
      <c r="K37" s="4" t="s">
        <v>124</v>
      </c>
      <c r="L37" s="4">
        <f t="shared" si="4"/>
        <v>0.25</v>
      </c>
      <c r="M37" s="4" t="s">
        <v>125</v>
      </c>
      <c r="N37" s="4">
        <f t="shared" si="5"/>
        <v>1.81</v>
      </c>
      <c r="O37" s="4" t="s">
        <v>102</v>
      </c>
      <c r="P37" s="4">
        <f t="shared" si="6"/>
        <v>0.01</v>
      </c>
      <c r="Q37" s="4">
        <v>7.0</v>
      </c>
      <c r="R37" s="4">
        <v>7.0</v>
      </c>
      <c r="S37" s="4">
        <v>186.0</v>
      </c>
      <c r="T37" s="4">
        <v>1240.0</v>
      </c>
      <c r="U37" s="4">
        <v>1555.0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4">
        <v>1.624580081E9</v>
      </c>
      <c r="B38" s="4">
        <v>42708.0</v>
      </c>
      <c r="C38" s="4">
        <v>6627.0</v>
      </c>
      <c r="D38" s="4" t="s">
        <v>126</v>
      </c>
      <c r="E38" s="4">
        <f t="shared" si="1"/>
        <v>4.31</v>
      </c>
      <c r="F38" s="4" t="s">
        <v>126</v>
      </c>
      <c r="G38" s="4">
        <f t="shared" si="2"/>
        <v>4.31</v>
      </c>
      <c r="H38" s="4">
        <v>0.0</v>
      </c>
      <c r="I38" s="4">
        <v>0.0</v>
      </c>
      <c r="J38" s="4">
        <f t="shared" si="3"/>
        <v>0</v>
      </c>
      <c r="K38" s="4">
        <v>0.0</v>
      </c>
      <c r="L38" s="4">
        <f t="shared" si="4"/>
        <v>0</v>
      </c>
      <c r="M38" s="4" t="s">
        <v>126</v>
      </c>
      <c r="N38" s="4">
        <f t="shared" si="5"/>
        <v>4.31</v>
      </c>
      <c r="O38" s="4">
        <v>0.0</v>
      </c>
      <c r="P38" s="4">
        <f t="shared" si="6"/>
        <v>0</v>
      </c>
      <c r="Q38" s="4">
        <v>0.0</v>
      </c>
      <c r="R38" s="4">
        <v>0.0</v>
      </c>
      <c r="S38" s="4">
        <v>89.0</v>
      </c>
      <c r="T38" s="4">
        <v>604.0</v>
      </c>
      <c r="U38" s="4">
        <v>706.0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4">
        <v>1.644430081E9</v>
      </c>
      <c r="B39" s="4">
        <v>42373.0</v>
      </c>
      <c r="C39" s="4">
        <v>4636.0</v>
      </c>
      <c r="D39" s="4" t="s">
        <v>127</v>
      </c>
      <c r="E39" s="4">
        <f t="shared" si="1"/>
        <v>3.41</v>
      </c>
      <c r="F39" s="4" t="s">
        <v>127</v>
      </c>
      <c r="G39" s="4">
        <f t="shared" si="2"/>
        <v>3.41</v>
      </c>
      <c r="H39" s="4">
        <v>0.0</v>
      </c>
      <c r="I39" s="4">
        <v>0.0</v>
      </c>
      <c r="J39" s="4">
        <f t="shared" si="3"/>
        <v>0</v>
      </c>
      <c r="K39" s="4" t="s">
        <v>128</v>
      </c>
      <c r="L39" s="4">
        <f t="shared" si="4"/>
        <v>0.78</v>
      </c>
      <c r="M39" s="4" t="s">
        <v>129</v>
      </c>
      <c r="N39" s="4">
        <f t="shared" si="5"/>
        <v>2.6</v>
      </c>
      <c r="O39" s="4" t="s">
        <v>121</v>
      </c>
      <c r="P39" s="4">
        <f t="shared" si="6"/>
        <v>0.03</v>
      </c>
      <c r="Q39" s="4">
        <v>0.0</v>
      </c>
      <c r="R39" s="4">
        <v>16.0</v>
      </c>
      <c r="S39" s="4">
        <v>586.0</v>
      </c>
      <c r="T39" s="4">
        <v>838.0</v>
      </c>
      <c r="U39" s="4">
        <v>3323.0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4">
        <v>1.644430081E9</v>
      </c>
      <c r="B40" s="4">
        <v>42404.0</v>
      </c>
      <c r="C40" s="4">
        <v>20237.0</v>
      </c>
      <c r="D40" s="4" t="s">
        <v>130</v>
      </c>
      <c r="E40" s="4">
        <f t="shared" si="1"/>
        <v>14.71</v>
      </c>
      <c r="F40" s="4" t="s">
        <v>130</v>
      </c>
      <c r="G40" s="4">
        <f t="shared" si="2"/>
        <v>14.71</v>
      </c>
      <c r="H40" s="4">
        <v>0.0</v>
      </c>
      <c r="I40" s="4" t="s">
        <v>23</v>
      </c>
      <c r="J40" s="4">
        <f t="shared" si="3"/>
        <v>2.57</v>
      </c>
      <c r="K40" s="4" t="s">
        <v>131</v>
      </c>
      <c r="L40" s="4">
        <f t="shared" si="4"/>
        <v>6.4</v>
      </c>
      <c r="M40" s="4" t="s">
        <v>132</v>
      </c>
      <c r="N40" s="4">
        <f t="shared" si="5"/>
        <v>5.73</v>
      </c>
      <c r="O40" s="4" t="s">
        <v>102</v>
      </c>
      <c r="P40" s="4">
        <f t="shared" si="6"/>
        <v>0.01</v>
      </c>
      <c r="Q40" s="4">
        <v>34.0</v>
      </c>
      <c r="R40" s="4">
        <v>141.0</v>
      </c>
      <c r="S40" s="4">
        <v>347.0</v>
      </c>
      <c r="T40" s="4">
        <v>918.0</v>
      </c>
      <c r="U40" s="4">
        <v>4029.0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4">
        <v>1.644430081E9</v>
      </c>
      <c r="B41" s="4">
        <v>42433.0</v>
      </c>
      <c r="C41" s="4">
        <v>12912.0</v>
      </c>
      <c r="D41" s="4" t="s">
        <v>133</v>
      </c>
      <c r="E41" s="4">
        <f t="shared" si="1"/>
        <v>9.41</v>
      </c>
      <c r="F41" s="4" t="s">
        <v>133</v>
      </c>
      <c r="G41" s="4">
        <f t="shared" si="2"/>
        <v>9.41</v>
      </c>
      <c r="H41" s="4">
        <v>0.0</v>
      </c>
      <c r="I41" s="4" t="s">
        <v>134</v>
      </c>
      <c r="J41" s="4">
        <f t="shared" si="3"/>
        <v>4.83</v>
      </c>
      <c r="K41" s="4" t="s">
        <v>135</v>
      </c>
      <c r="L41" s="4">
        <f t="shared" si="4"/>
        <v>0.77</v>
      </c>
      <c r="M41" s="4" t="s">
        <v>136</v>
      </c>
      <c r="N41" s="4">
        <f t="shared" si="5"/>
        <v>3.79</v>
      </c>
      <c r="O41" s="4" t="s">
        <v>121</v>
      </c>
      <c r="P41" s="4">
        <f t="shared" si="6"/>
        <v>0.03</v>
      </c>
      <c r="Q41" s="4">
        <v>59.0</v>
      </c>
      <c r="R41" s="4">
        <v>16.0</v>
      </c>
      <c r="S41" s="4">
        <v>283.0</v>
      </c>
      <c r="T41" s="4">
        <v>1082.0</v>
      </c>
      <c r="U41" s="4">
        <v>3436.0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4">
        <v>1.644430081E9</v>
      </c>
      <c r="B42" s="4">
        <v>42464.0</v>
      </c>
      <c r="C42" s="4">
        <v>2819.0</v>
      </c>
      <c r="D42" s="4" t="s">
        <v>137</v>
      </c>
      <c r="E42" s="4">
        <f t="shared" si="1"/>
        <v>2.05</v>
      </c>
      <c r="F42" s="4" t="s">
        <v>137</v>
      </c>
      <c r="G42" s="4">
        <f t="shared" si="2"/>
        <v>2.05</v>
      </c>
      <c r="H42" s="4">
        <v>0.0</v>
      </c>
      <c r="I42" s="4" t="s">
        <v>138</v>
      </c>
      <c r="J42" s="4">
        <f t="shared" si="3"/>
        <v>0.31</v>
      </c>
      <c r="K42" s="4" t="s">
        <v>139</v>
      </c>
      <c r="L42" s="4">
        <f t="shared" si="4"/>
        <v>0.17</v>
      </c>
      <c r="M42" s="4" t="s">
        <v>140</v>
      </c>
      <c r="N42" s="4">
        <f t="shared" si="5"/>
        <v>1.56</v>
      </c>
      <c r="O42" s="4" t="s">
        <v>102</v>
      </c>
      <c r="P42" s="4">
        <f t="shared" si="6"/>
        <v>0.01</v>
      </c>
      <c r="Q42" s="4">
        <v>4.0</v>
      </c>
      <c r="R42" s="4">
        <v>4.0</v>
      </c>
      <c r="S42" s="4">
        <v>87.0</v>
      </c>
      <c r="T42" s="4">
        <v>1345.0</v>
      </c>
      <c r="U42" s="4">
        <v>2444.0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4">
        <v>1.644430081E9</v>
      </c>
      <c r="B43" s="4">
        <v>42494.0</v>
      </c>
      <c r="C43" s="4">
        <v>9921.0</v>
      </c>
      <c r="D43" s="4" t="s">
        <v>141</v>
      </c>
      <c r="E43" s="4">
        <f t="shared" si="1"/>
        <v>7.21</v>
      </c>
      <c r="F43" s="4" t="s">
        <v>141</v>
      </c>
      <c r="G43" s="4">
        <f t="shared" si="2"/>
        <v>7.21</v>
      </c>
      <c r="H43" s="4">
        <v>0.0</v>
      </c>
      <c r="I43" s="4" t="s">
        <v>142</v>
      </c>
      <c r="J43" s="4">
        <f t="shared" si="3"/>
        <v>0.34</v>
      </c>
      <c r="K43" s="4" t="s">
        <v>143</v>
      </c>
      <c r="L43" s="4">
        <f t="shared" si="4"/>
        <v>1.52</v>
      </c>
      <c r="M43" s="4" t="s">
        <v>144</v>
      </c>
      <c r="N43" s="4">
        <f t="shared" si="5"/>
        <v>5.36</v>
      </c>
      <c r="O43" s="4">
        <v>0.0</v>
      </c>
      <c r="P43" s="4">
        <f t="shared" si="6"/>
        <v>0</v>
      </c>
      <c r="Q43" s="4">
        <v>5.0</v>
      </c>
      <c r="R43" s="4">
        <v>35.0</v>
      </c>
      <c r="S43" s="4">
        <v>219.0</v>
      </c>
      <c r="T43" s="4">
        <v>1181.0</v>
      </c>
      <c r="U43" s="4">
        <v>3098.0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4">
        <v>1.644430081E9</v>
      </c>
      <c r="B44" s="4">
        <v>42525.0</v>
      </c>
      <c r="C44" s="4">
        <v>8046.0</v>
      </c>
      <c r="D44" s="4" t="s">
        <v>145</v>
      </c>
      <c r="E44" s="4">
        <f t="shared" si="1"/>
        <v>5.85</v>
      </c>
      <c r="F44" s="4" t="s">
        <v>145</v>
      </c>
      <c r="G44" s="4">
        <f t="shared" si="2"/>
        <v>5.85</v>
      </c>
      <c r="H44" s="4">
        <v>0.0</v>
      </c>
      <c r="I44" s="4" t="s">
        <v>105</v>
      </c>
      <c r="J44" s="4">
        <f t="shared" si="3"/>
        <v>1.29</v>
      </c>
      <c r="K44" s="4" t="s">
        <v>146</v>
      </c>
      <c r="L44" s="4">
        <f t="shared" si="4"/>
        <v>2.12</v>
      </c>
      <c r="M44" s="4" t="s">
        <v>147</v>
      </c>
      <c r="N44" s="4">
        <f t="shared" si="5"/>
        <v>2.45</v>
      </c>
      <c r="O44" s="4">
        <v>0.0</v>
      </c>
      <c r="P44" s="4">
        <f t="shared" si="6"/>
        <v>0</v>
      </c>
      <c r="Q44" s="4">
        <v>18.0</v>
      </c>
      <c r="R44" s="4">
        <v>41.0</v>
      </c>
      <c r="S44" s="4">
        <v>137.0</v>
      </c>
      <c r="T44" s="4">
        <v>1244.0</v>
      </c>
      <c r="U44" s="4">
        <v>2925.0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4">
        <v>1.644430081E9</v>
      </c>
      <c r="B45" s="4">
        <v>42555.0</v>
      </c>
      <c r="C45" s="4">
        <v>11166.0</v>
      </c>
      <c r="D45" s="4" t="s">
        <v>148</v>
      </c>
      <c r="E45" s="4">
        <f t="shared" si="1"/>
        <v>8.12</v>
      </c>
      <c r="F45" s="4" t="s">
        <v>148</v>
      </c>
      <c r="G45" s="4">
        <f t="shared" si="2"/>
        <v>8.12</v>
      </c>
      <c r="H45" s="4">
        <v>0.0</v>
      </c>
      <c r="I45" s="4" t="s">
        <v>149</v>
      </c>
      <c r="J45" s="4">
        <f t="shared" si="3"/>
        <v>0.21</v>
      </c>
      <c r="K45" s="4" t="s">
        <v>150</v>
      </c>
      <c r="L45" s="4">
        <f t="shared" si="4"/>
        <v>2.41</v>
      </c>
      <c r="M45" s="4">
        <v>45782.0</v>
      </c>
      <c r="N45" s="4">
        <f t="shared" si="5"/>
        <v>45782</v>
      </c>
      <c r="O45" s="4">
        <v>0.0</v>
      </c>
      <c r="P45" s="4">
        <f t="shared" si="6"/>
        <v>0</v>
      </c>
      <c r="Q45" s="4">
        <v>3.0</v>
      </c>
      <c r="R45" s="4">
        <v>58.0</v>
      </c>
      <c r="S45" s="4">
        <v>230.0</v>
      </c>
      <c r="T45" s="4">
        <v>1149.0</v>
      </c>
      <c r="U45" s="4">
        <v>3202.0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4">
        <v>1.644430081E9</v>
      </c>
      <c r="B46" s="4">
        <v>42586.0</v>
      </c>
      <c r="C46" s="4">
        <v>7842.0</v>
      </c>
      <c r="D46" s="4" t="s">
        <v>151</v>
      </c>
      <c r="E46" s="4">
        <f t="shared" si="1"/>
        <v>5.7</v>
      </c>
      <c r="F46" s="4" t="s">
        <v>151</v>
      </c>
      <c r="G46" s="4">
        <f t="shared" si="2"/>
        <v>5.7</v>
      </c>
      <c r="H46" s="4">
        <v>0.0</v>
      </c>
      <c r="I46" s="4" t="s">
        <v>81</v>
      </c>
      <c r="J46" s="4">
        <f t="shared" si="3"/>
        <v>0.48</v>
      </c>
      <c r="K46" s="4" t="s">
        <v>150</v>
      </c>
      <c r="L46" s="4">
        <f t="shared" si="4"/>
        <v>2.41</v>
      </c>
      <c r="M46" s="4" t="s">
        <v>152</v>
      </c>
      <c r="N46" s="4">
        <f t="shared" si="5"/>
        <v>2.81</v>
      </c>
      <c r="O46" s="4">
        <v>0.0</v>
      </c>
      <c r="P46" s="4">
        <f t="shared" si="6"/>
        <v>0</v>
      </c>
      <c r="Q46" s="4">
        <v>7.0</v>
      </c>
      <c r="R46" s="4">
        <v>43.0</v>
      </c>
      <c r="S46" s="4">
        <v>161.0</v>
      </c>
      <c r="T46" s="4">
        <v>1229.0</v>
      </c>
      <c r="U46" s="4">
        <v>2928.0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4">
        <v>1.644430081E9</v>
      </c>
      <c r="B47" s="4">
        <v>42617.0</v>
      </c>
      <c r="C47" s="4">
        <v>13840.0</v>
      </c>
      <c r="D47" s="4" t="s">
        <v>153</v>
      </c>
      <c r="E47" s="4">
        <f t="shared" si="1"/>
        <v>10.06</v>
      </c>
      <c r="F47" s="4" t="s">
        <v>153</v>
      </c>
      <c r="G47" s="4">
        <f t="shared" si="2"/>
        <v>10.06</v>
      </c>
      <c r="H47" s="4">
        <v>0.0</v>
      </c>
      <c r="I47" s="4" t="s">
        <v>154</v>
      </c>
      <c r="J47" s="4">
        <f t="shared" si="3"/>
        <v>1.31</v>
      </c>
      <c r="K47" s="4" t="s">
        <v>155</v>
      </c>
      <c r="L47" s="4">
        <f t="shared" si="4"/>
        <v>3.72</v>
      </c>
      <c r="M47" s="4" t="s">
        <v>156</v>
      </c>
      <c r="N47" s="4">
        <f t="shared" si="5"/>
        <v>5.03</v>
      </c>
      <c r="O47" s="4">
        <v>0.0</v>
      </c>
      <c r="P47" s="4">
        <f t="shared" si="6"/>
        <v>0</v>
      </c>
      <c r="Q47" s="4">
        <v>18.0</v>
      </c>
      <c r="R47" s="4">
        <v>81.0</v>
      </c>
      <c r="S47" s="4">
        <v>192.0</v>
      </c>
      <c r="T47" s="4">
        <v>1149.0</v>
      </c>
      <c r="U47" s="4">
        <v>3290.0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4">
        <v>1.644430081E9</v>
      </c>
      <c r="B48" s="4">
        <v>42647.0</v>
      </c>
      <c r="C48" s="4">
        <v>1329.0</v>
      </c>
      <c r="D48" s="4" t="s">
        <v>157</v>
      </c>
      <c r="E48" s="4">
        <f t="shared" si="1"/>
        <v>0.97</v>
      </c>
      <c r="F48" s="4" t="s">
        <v>157</v>
      </c>
      <c r="G48" s="4">
        <f t="shared" si="2"/>
        <v>0.97</v>
      </c>
      <c r="H48" s="4">
        <v>0.0</v>
      </c>
      <c r="I48" s="4">
        <v>0.0</v>
      </c>
      <c r="J48" s="4">
        <f t="shared" si="3"/>
        <v>0</v>
      </c>
      <c r="K48" s="4">
        <v>0.0</v>
      </c>
      <c r="L48" s="4">
        <f t="shared" si="4"/>
        <v>0</v>
      </c>
      <c r="M48" s="4" t="s">
        <v>157</v>
      </c>
      <c r="N48" s="4">
        <f t="shared" si="5"/>
        <v>0.97</v>
      </c>
      <c r="O48" s="4">
        <v>0.0</v>
      </c>
      <c r="P48" s="4">
        <f t="shared" si="6"/>
        <v>0</v>
      </c>
      <c r="Q48" s="4">
        <v>0.0</v>
      </c>
      <c r="R48" s="4">
        <v>0.0</v>
      </c>
      <c r="S48" s="4">
        <v>35.0</v>
      </c>
      <c r="T48" s="4">
        <v>207.0</v>
      </c>
      <c r="U48" s="4">
        <v>489.0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4">
        <v>1.844505072E9</v>
      </c>
      <c r="B49" s="4">
        <v>42373.0</v>
      </c>
      <c r="C49" s="4">
        <v>6847.0</v>
      </c>
      <c r="D49" s="4" t="s">
        <v>158</v>
      </c>
      <c r="E49" s="4">
        <f t="shared" si="1"/>
        <v>4.53</v>
      </c>
      <c r="F49" s="4" t="s">
        <v>158</v>
      </c>
      <c r="G49" s="4">
        <f t="shared" si="2"/>
        <v>4.53</v>
      </c>
      <c r="H49" s="4">
        <v>0.0</v>
      </c>
      <c r="I49" s="4" t="s">
        <v>159</v>
      </c>
      <c r="J49" s="4">
        <f t="shared" si="3"/>
        <v>0.61</v>
      </c>
      <c r="K49" s="4" t="s">
        <v>160</v>
      </c>
      <c r="L49" s="4">
        <f t="shared" si="4"/>
        <v>0.37</v>
      </c>
      <c r="M49" s="4" t="s">
        <v>161</v>
      </c>
      <c r="N49" s="4">
        <f t="shared" si="5"/>
        <v>3.55</v>
      </c>
      <c r="O49" s="4">
        <v>0.0</v>
      </c>
      <c r="P49" s="4">
        <f t="shared" si="6"/>
        <v>0</v>
      </c>
      <c r="Q49" s="4">
        <v>9.0</v>
      </c>
      <c r="R49" s="4">
        <v>9.0</v>
      </c>
      <c r="S49" s="4">
        <v>251.0</v>
      </c>
      <c r="T49" s="4">
        <v>1171.0</v>
      </c>
      <c r="U49" s="4">
        <v>1969.0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4">
        <v>1.844505072E9</v>
      </c>
      <c r="B50" s="4">
        <v>42404.0</v>
      </c>
      <c r="C50" s="4">
        <v>5367.0</v>
      </c>
      <c r="D50" s="4" t="s">
        <v>161</v>
      </c>
      <c r="E50" s="4">
        <f t="shared" si="1"/>
        <v>3.55</v>
      </c>
      <c r="F50" s="4" t="s">
        <v>161</v>
      </c>
      <c r="G50" s="4">
        <f t="shared" si="2"/>
        <v>3.55</v>
      </c>
      <c r="H50" s="4">
        <v>0.0</v>
      </c>
      <c r="I50" s="4">
        <v>0.0</v>
      </c>
      <c r="J50" s="4">
        <f t="shared" si="3"/>
        <v>0</v>
      </c>
      <c r="K50" s="4">
        <v>0.0</v>
      </c>
      <c r="L50" s="4">
        <f t="shared" si="4"/>
        <v>0</v>
      </c>
      <c r="M50" s="4" t="s">
        <v>161</v>
      </c>
      <c r="N50" s="4">
        <f t="shared" si="5"/>
        <v>3.55</v>
      </c>
      <c r="O50" s="4">
        <v>0.0</v>
      </c>
      <c r="P50" s="4">
        <f t="shared" si="6"/>
        <v>0</v>
      </c>
      <c r="Q50" s="4">
        <v>0.0</v>
      </c>
      <c r="R50" s="4">
        <v>0.0</v>
      </c>
      <c r="S50" s="4">
        <v>263.0</v>
      </c>
      <c r="T50" s="4">
        <v>1177.0</v>
      </c>
      <c r="U50" s="4">
        <v>1889.0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4">
        <v>1.844505072E9</v>
      </c>
      <c r="B51" s="4">
        <v>42433.0</v>
      </c>
      <c r="C51" s="4">
        <v>2841.0</v>
      </c>
      <c r="D51" s="4" t="s">
        <v>114</v>
      </c>
      <c r="E51" s="4">
        <f t="shared" si="1"/>
        <v>1.88</v>
      </c>
      <c r="F51" s="4" t="s">
        <v>114</v>
      </c>
      <c r="G51" s="4">
        <f t="shared" si="2"/>
        <v>1.88</v>
      </c>
      <c r="H51" s="4">
        <v>0.0</v>
      </c>
      <c r="I51" s="4">
        <v>0.0</v>
      </c>
      <c r="J51" s="4">
        <f t="shared" si="3"/>
        <v>0</v>
      </c>
      <c r="K51" s="4">
        <v>0.0</v>
      </c>
      <c r="L51" s="4">
        <f t="shared" si="4"/>
        <v>0</v>
      </c>
      <c r="M51" s="4" t="s">
        <v>114</v>
      </c>
      <c r="N51" s="4">
        <f t="shared" si="5"/>
        <v>1.88</v>
      </c>
      <c r="O51" s="4">
        <v>0.0</v>
      </c>
      <c r="P51" s="4">
        <f t="shared" si="6"/>
        <v>0</v>
      </c>
      <c r="Q51" s="4">
        <v>0.0</v>
      </c>
      <c r="R51" s="4">
        <v>0.0</v>
      </c>
      <c r="S51" s="4">
        <v>136.0</v>
      </c>
      <c r="T51" s="4">
        <v>1114.0</v>
      </c>
      <c r="U51" s="4">
        <v>1636.0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4">
        <v>1.844505072E9</v>
      </c>
      <c r="B52" s="4">
        <v>42464.0</v>
      </c>
      <c r="C52" s="4">
        <v>0.0</v>
      </c>
      <c r="D52" s="4">
        <v>0.0</v>
      </c>
      <c r="E52" s="4">
        <f t="shared" si="1"/>
        <v>0</v>
      </c>
      <c r="F52" s="4">
        <v>0.0</v>
      </c>
      <c r="G52" s="4">
        <f t="shared" si="2"/>
        <v>0</v>
      </c>
      <c r="H52" s="4">
        <v>0.0</v>
      </c>
      <c r="I52" s="4">
        <v>0.0</v>
      </c>
      <c r="J52" s="4">
        <f t="shared" si="3"/>
        <v>0</v>
      </c>
      <c r="K52" s="4">
        <v>0.0</v>
      </c>
      <c r="L52" s="4">
        <f t="shared" si="4"/>
        <v>0</v>
      </c>
      <c r="M52" s="4">
        <v>0.0</v>
      </c>
      <c r="N52" s="4">
        <f t="shared" si="5"/>
        <v>0</v>
      </c>
      <c r="O52" s="4">
        <v>0.0</v>
      </c>
      <c r="P52" s="4">
        <f t="shared" si="6"/>
        <v>0</v>
      </c>
      <c r="Q52" s="4">
        <v>0.0</v>
      </c>
      <c r="R52" s="4">
        <v>0.0</v>
      </c>
      <c r="S52" s="4">
        <v>0.0</v>
      </c>
      <c r="T52" s="4">
        <v>669.0</v>
      </c>
      <c r="U52" s="4">
        <v>1347.0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4">
        <v>1.844505072E9</v>
      </c>
      <c r="B53" s="4">
        <v>42494.0</v>
      </c>
      <c r="C53" s="4">
        <v>0.0</v>
      </c>
      <c r="D53" s="4">
        <v>0.0</v>
      </c>
      <c r="E53" s="4">
        <f t="shared" si="1"/>
        <v>0</v>
      </c>
      <c r="F53" s="4">
        <v>0.0</v>
      </c>
      <c r="G53" s="4">
        <f t="shared" si="2"/>
        <v>0</v>
      </c>
      <c r="H53" s="4">
        <v>0.0</v>
      </c>
      <c r="I53" s="4">
        <v>0.0</v>
      </c>
      <c r="J53" s="4">
        <f t="shared" si="3"/>
        <v>0</v>
      </c>
      <c r="K53" s="4">
        <v>0.0</v>
      </c>
      <c r="L53" s="4">
        <f t="shared" si="4"/>
        <v>0</v>
      </c>
      <c r="M53" s="4">
        <v>0.0</v>
      </c>
      <c r="N53" s="4">
        <f t="shared" si="5"/>
        <v>0</v>
      </c>
      <c r="O53" s="4">
        <v>0.0</v>
      </c>
      <c r="P53" s="4">
        <f t="shared" si="6"/>
        <v>0</v>
      </c>
      <c r="Q53" s="4">
        <v>0.0</v>
      </c>
      <c r="R53" s="4">
        <v>0.0</v>
      </c>
      <c r="S53" s="4">
        <v>0.0</v>
      </c>
      <c r="T53" s="4">
        <v>1440.0</v>
      </c>
      <c r="U53" s="4">
        <v>1347.0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4">
        <v>1.844505072E9</v>
      </c>
      <c r="B54" s="4">
        <v>42525.0</v>
      </c>
      <c r="C54" s="4">
        <v>7.0</v>
      </c>
      <c r="D54" s="4">
        <v>0.0</v>
      </c>
      <c r="E54" s="4">
        <f t="shared" si="1"/>
        <v>0</v>
      </c>
      <c r="F54" s="4">
        <v>0.0</v>
      </c>
      <c r="G54" s="4">
        <f t="shared" si="2"/>
        <v>0</v>
      </c>
      <c r="H54" s="4">
        <v>0.0</v>
      </c>
      <c r="I54" s="4">
        <v>0.0</v>
      </c>
      <c r="J54" s="4">
        <f t="shared" si="3"/>
        <v>0</v>
      </c>
      <c r="K54" s="4">
        <v>0.0</v>
      </c>
      <c r="L54" s="4">
        <f t="shared" si="4"/>
        <v>0</v>
      </c>
      <c r="M54" s="4">
        <v>0.0</v>
      </c>
      <c r="N54" s="4">
        <f t="shared" si="5"/>
        <v>0</v>
      </c>
      <c r="O54" s="4">
        <v>0.0</v>
      </c>
      <c r="P54" s="4">
        <f t="shared" si="6"/>
        <v>0</v>
      </c>
      <c r="Q54" s="4">
        <v>0.0</v>
      </c>
      <c r="R54" s="4">
        <v>0.0</v>
      </c>
      <c r="S54" s="4">
        <v>1.0</v>
      </c>
      <c r="T54" s="4">
        <v>1439.0</v>
      </c>
      <c r="U54" s="4">
        <v>1349.0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4">
        <v>1.844505072E9</v>
      </c>
      <c r="B55" s="4">
        <v>42555.0</v>
      </c>
      <c r="C55" s="4">
        <v>6344.0</v>
      </c>
      <c r="D55" s="4" t="s">
        <v>162</v>
      </c>
      <c r="E55" s="4">
        <f t="shared" si="1"/>
        <v>4.19</v>
      </c>
      <c r="F55" s="4" t="s">
        <v>162</v>
      </c>
      <c r="G55" s="4">
        <f t="shared" si="2"/>
        <v>4.19</v>
      </c>
      <c r="H55" s="4">
        <v>0.0</v>
      </c>
      <c r="I55" s="4">
        <v>0.0</v>
      </c>
      <c r="J55" s="4">
        <f t="shared" si="3"/>
        <v>0</v>
      </c>
      <c r="K55" s="4">
        <v>0.0</v>
      </c>
      <c r="L55" s="4">
        <f t="shared" si="4"/>
        <v>0</v>
      </c>
      <c r="M55" s="4" t="s">
        <v>162</v>
      </c>
      <c r="N55" s="4">
        <f t="shared" si="5"/>
        <v>4.19</v>
      </c>
      <c r="O55" s="4">
        <v>0.0</v>
      </c>
      <c r="P55" s="4">
        <f t="shared" si="6"/>
        <v>0</v>
      </c>
      <c r="Q55" s="4">
        <v>0.0</v>
      </c>
      <c r="R55" s="4">
        <v>0.0</v>
      </c>
      <c r="S55" s="4">
        <v>290.0</v>
      </c>
      <c r="T55" s="4">
        <v>1150.0</v>
      </c>
      <c r="U55" s="4">
        <v>1965.0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4">
        <v>1.844505072E9</v>
      </c>
      <c r="B56" s="4">
        <v>42586.0</v>
      </c>
      <c r="C56" s="4">
        <v>5316.0</v>
      </c>
      <c r="D56" s="4" t="s">
        <v>163</v>
      </c>
      <c r="E56" s="4">
        <f t="shared" si="1"/>
        <v>3.51</v>
      </c>
      <c r="F56" s="4" t="s">
        <v>163</v>
      </c>
      <c r="G56" s="4">
        <f t="shared" si="2"/>
        <v>3.51</v>
      </c>
      <c r="H56" s="4">
        <v>0.0</v>
      </c>
      <c r="I56" s="4">
        <v>0.0</v>
      </c>
      <c r="J56" s="4">
        <f t="shared" si="3"/>
        <v>0</v>
      </c>
      <c r="K56" s="4">
        <v>0.0</v>
      </c>
      <c r="L56" s="4">
        <f t="shared" si="4"/>
        <v>0</v>
      </c>
      <c r="M56" s="4" t="s">
        <v>163</v>
      </c>
      <c r="N56" s="4">
        <f t="shared" si="5"/>
        <v>3.51</v>
      </c>
      <c r="O56" s="4">
        <v>0.0</v>
      </c>
      <c r="P56" s="4">
        <f t="shared" si="6"/>
        <v>0</v>
      </c>
      <c r="Q56" s="4">
        <v>0.0</v>
      </c>
      <c r="R56" s="4">
        <v>0.0</v>
      </c>
      <c r="S56" s="4">
        <v>221.0</v>
      </c>
      <c r="T56" s="4">
        <v>1219.0</v>
      </c>
      <c r="U56" s="4">
        <v>1824.0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4">
        <v>1.844505072E9</v>
      </c>
      <c r="B57" s="4">
        <v>42617.0</v>
      </c>
      <c r="C57" s="4">
        <v>4979.0</v>
      </c>
      <c r="D57" s="4" t="s">
        <v>164</v>
      </c>
      <c r="E57" s="4">
        <f t="shared" si="1"/>
        <v>3.29</v>
      </c>
      <c r="F57" s="4" t="s">
        <v>164</v>
      </c>
      <c r="G57" s="4">
        <f t="shared" si="2"/>
        <v>3.29</v>
      </c>
      <c r="H57" s="4">
        <v>0.0</v>
      </c>
      <c r="I57" s="4">
        <v>0.0</v>
      </c>
      <c r="J57" s="4">
        <f t="shared" si="3"/>
        <v>0</v>
      </c>
      <c r="K57" s="4">
        <v>0.0</v>
      </c>
      <c r="L57" s="4">
        <f t="shared" si="4"/>
        <v>0</v>
      </c>
      <c r="M57" s="4" t="s">
        <v>164</v>
      </c>
      <c r="N57" s="4">
        <f t="shared" si="5"/>
        <v>3.29</v>
      </c>
      <c r="O57" s="4">
        <v>0.0</v>
      </c>
      <c r="P57" s="4">
        <f t="shared" si="6"/>
        <v>0</v>
      </c>
      <c r="Q57" s="4">
        <v>0.0</v>
      </c>
      <c r="R57" s="4">
        <v>0.0</v>
      </c>
      <c r="S57" s="4">
        <v>184.0</v>
      </c>
      <c r="T57" s="4">
        <v>620.0</v>
      </c>
      <c r="U57" s="4">
        <v>1807.0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4">
        <v>1.844505072E9</v>
      </c>
      <c r="B58" s="4">
        <v>42647.0</v>
      </c>
      <c r="C58" s="4">
        <v>6556.0</v>
      </c>
      <c r="D58" s="4" t="s">
        <v>165</v>
      </c>
      <c r="E58" s="4">
        <f t="shared" si="1"/>
        <v>4.34</v>
      </c>
      <c r="F58" s="4" t="s">
        <v>165</v>
      </c>
      <c r="G58" s="4">
        <f t="shared" si="2"/>
        <v>4.34</v>
      </c>
      <c r="H58" s="4">
        <v>0.0</v>
      </c>
      <c r="I58" s="4">
        <v>0.0</v>
      </c>
      <c r="J58" s="4">
        <f t="shared" si="3"/>
        <v>0</v>
      </c>
      <c r="K58" s="4">
        <v>0.0</v>
      </c>
      <c r="L58" s="4">
        <f t="shared" si="4"/>
        <v>0</v>
      </c>
      <c r="M58" s="4" t="s">
        <v>166</v>
      </c>
      <c r="N58" s="4">
        <f t="shared" si="5"/>
        <v>4.33</v>
      </c>
      <c r="O58" s="4">
        <v>0.0</v>
      </c>
      <c r="P58" s="4">
        <f t="shared" si="6"/>
        <v>0</v>
      </c>
      <c r="Q58" s="4">
        <v>0.0</v>
      </c>
      <c r="R58" s="4">
        <v>0.0</v>
      </c>
      <c r="S58" s="4">
        <v>305.0</v>
      </c>
      <c r="T58" s="4">
        <v>810.0</v>
      </c>
      <c r="U58" s="4">
        <v>1971.0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4">
        <v>1.844505072E9</v>
      </c>
      <c r="B59" s="4">
        <v>42678.0</v>
      </c>
      <c r="C59" s="4">
        <v>5430.0</v>
      </c>
      <c r="D59" s="4" t="s">
        <v>167</v>
      </c>
      <c r="E59" s="4">
        <f t="shared" si="1"/>
        <v>3.59</v>
      </c>
      <c r="F59" s="4" t="s">
        <v>167</v>
      </c>
      <c r="G59" s="4">
        <f t="shared" si="2"/>
        <v>3.59</v>
      </c>
      <c r="H59" s="4">
        <v>0.0</v>
      </c>
      <c r="I59" s="4">
        <v>0.0</v>
      </c>
      <c r="J59" s="4">
        <f t="shared" si="3"/>
        <v>0</v>
      </c>
      <c r="K59" s="4">
        <v>0.0</v>
      </c>
      <c r="L59" s="4">
        <f t="shared" si="4"/>
        <v>0</v>
      </c>
      <c r="M59" s="4" t="s">
        <v>167</v>
      </c>
      <c r="N59" s="4">
        <f t="shared" si="5"/>
        <v>3.59</v>
      </c>
      <c r="O59" s="4">
        <v>0.0</v>
      </c>
      <c r="P59" s="4">
        <f t="shared" si="6"/>
        <v>0</v>
      </c>
      <c r="Q59" s="4">
        <v>0.0</v>
      </c>
      <c r="R59" s="4">
        <v>0.0</v>
      </c>
      <c r="S59" s="4">
        <v>251.0</v>
      </c>
      <c r="T59" s="4">
        <v>1189.0</v>
      </c>
      <c r="U59" s="4">
        <v>1888.0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4">
        <v>1.844505072E9</v>
      </c>
      <c r="B60" s="4">
        <v>42708.0</v>
      </c>
      <c r="C60" s="4">
        <v>0.0</v>
      </c>
      <c r="D60" s="4">
        <v>0.0</v>
      </c>
      <c r="E60" s="4">
        <f t="shared" si="1"/>
        <v>0</v>
      </c>
      <c r="F60" s="4">
        <v>0.0</v>
      </c>
      <c r="G60" s="4">
        <f t="shared" si="2"/>
        <v>0</v>
      </c>
      <c r="H60" s="4">
        <v>0.0</v>
      </c>
      <c r="I60" s="4">
        <v>0.0</v>
      </c>
      <c r="J60" s="4">
        <f t="shared" si="3"/>
        <v>0</v>
      </c>
      <c r="K60" s="4">
        <v>0.0</v>
      </c>
      <c r="L60" s="4">
        <f t="shared" si="4"/>
        <v>0</v>
      </c>
      <c r="M60" s="4">
        <v>0.0</v>
      </c>
      <c r="N60" s="4">
        <f t="shared" si="5"/>
        <v>0</v>
      </c>
      <c r="O60" s="4">
        <v>0.0</v>
      </c>
      <c r="P60" s="4">
        <f t="shared" si="6"/>
        <v>0</v>
      </c>
      <c r="Q60" s="4">
        <v>0.0</v>
      </c>
      <c r="R60" s="4">
        <v>0.0</v>
      </c>
      <c r="S60" s="4">
        <v>0.0</v>
      </c>
      <c r="T60" s="4">
        <v>426.0</v>
      </c>
      <c r="U60" s="4">
        <v>399.0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4">
        <v>1.927972279E9</v>
      </c>
      <c r="B61" s="4">
        <v>42373.0</v>
      </c>
      <c r="C61" s="4">
        <v>4317.0</v>
      </c>
      <c r="D61" s="4" t="s">
        <v>168</v>
      </c>
      <c r="E61" s="4">
        <f t="shared" si="1"/>
        <v>2.99</v>
      </c>
      <c r="F61" s="4" t="s">
        <v>168</v>
      </c>
      <c r="G61" s="4">
        <f t="shared" si="2"/>
        <v>2.99</v>
      </c>
      <c r="H61" s="4">
        <v>0.0</v>
      </c>
      <c r="I61" s="4">
        <v>0.0</v>
      </c>
      <c r="J61" s="4">
        <f t="shared" si="3"/>
        <v>0</v>
      </c>
      <c r="K61" s="4" t="s">
        <v>160</v>
      </c>
      <c r="L61" s="4">
        <f t="shared" si="4"/>
        <v>0.37</v>
      </c>
      <c r="M61" s="4" t="s">
        <v>169</v>
      </c>
      <c r="N61" s="4">
        <f t="shared" si="5"/>
        <v>2.62</v>
      </c>
      <c r="O61" s="4">
        <v>0.0</v>
      </c>
      <c r="P61" s="4">
        <f t="shared" si="6"/>
        <v>0</v>
      </c>
      <c r="Q61" s="4">
        <v>0.0</v>
      </c>
      <c r="R61" s="4">
        <v>11.0</v>
      </c>
      <c r="S61" s="4">
        <v>192.0</v>
      </c>
      <c r="T61" s="4">
        <v>854.0</v>
      </c>
      <c r="U61" s="4">
        <v>2590.0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4">
        <v>1.927972279E9</v>
      </c>
      <c r="B62" s="4">
        <v>42404.0</v>
      </c>
      <c r="C62" s="4">
        <v>5662.0</v>
      </c>
      <c r="D62" s="4" t="s">
        <v>170</v>
      </c>
      <c r="E62" s="4">
        <f t="shared" si="1"/>
        <v>3.92</v>
      </c>
      <c r="F62" s="4" t="s">
        <v>170</v>
      </c>
      <c r="G62" s="4">
        <f t="shared" si="2"/>
        <v>3.92</v>
      </c>
      <c r="H62" s="4">
        <v>0.0</v>
      </c>
      <c r="I62" s="4">
        <v>0.0</v>
      </c>
      <c r="J62" s="4">
        <f t="shared" si="3"/>
        <v>0</v>
      </c>
      <c r="K62" s="4">
        <v>0.0</v>
      </c>
      <c r="L62" s="4">
        <f t="shared" si="4"/>
        <v>0</v>
      </c>
      <c r="M62" s="4" t="s">
        <v>170</v>
      </c>
      <c r="N62" s="4">
        <f t="shared" si="5"/>
        <v>3.92</v>
      </c>
      <c r="O62" s="4">
        <v>0.0</v>
      </c>
      <c r="P62" s="4">
        <f t="shared" si="6"/>
        <v>0</v>
      </c>
      <c r="Q62" s="4">
        <v>0.0</v>
      </c>
      <c r="R62" s="4">
        <v>0.0</v>
      </c>
      <c r="S62" s="4">
        <v>267.0</v>
      </c>
      <c r="T62" s="4">
        <v>858.0</v>
      </c>
      <c r="U62" s="4">
        <v>2783.0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4">
        <v>1.927972279E9</v>
      </c>
      <c r="B63" s="4">
        <v>42433.0</v>
      </c>
      <c r="C63" s="4">
        <v>3198.0</v>
      </c>
      <c r="D63" s="4" t="s">
        <v>171</v>
      </c>
      <c r="E63" s="4">
        <f t="shared" si="1"/>
        <v>2.21</v>
      </c>
      <c r="F63" s="4" t="s">
        <v>171</v>
      </c>
      <c r="G63" s="4">
        <f t="shared" si="2"/>
        <v>2.21</v>
      </c>
      <c r="H63" s="4">
        <v>0.0</v>
      </c>
      <c r="I63" s="4">
        <v>0.0</v>
      </c>
      <c r="J63" s="4">
        <f t="shared" si="3"/>
        <v>0</v>
      </c>
      <c r="K63" s="4">
        <v>0.0</v>
      </c>
      <c r="L63" s="4">
        <f t="shared" si="4"/>
        <v>0</v>
      </c>
      <c r="M63" s="4" t="s">
        <v>171</v>
      </c>
      <c r="N63" s="4">
        <f t="shared" si="5"/>
        <v>2.21</v>
      </c>
      <c r="O63" s="4">
        <v>0.0</v>
      </c>
      <c r="P63" s="4">
        <f t="shared" si="6"/>
        <v>0</v>
      </c>
      <c r="Q63" s="4">
        <v>0.0</v>
      </c>
      <c r="R63" s="4">
        <v>0.0</v>
      </c>
      <c r="S63" s="4">
        <v>146.0</v>
      </c>
      <c r="T63" s="4">
        <v>1183.0</v>
      </c>
      <c r="U63" s="4">
        <v>2449.0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4">
        <v>1.927972279E9</v>
      </c>
      <c r="B64" s="4">
        <v>42464.0</v>
      </c>
      <c r="C64" s="4">
        <v>2352.0</v>
      </c>
      <c r="D64" s="4" t="s">
        <v>172</v>
      </c>
      <c r="E64" s="4">
        <f t="shared" si="1"/>
        <v>1.63</v>
      </c>
      <c r="F64" s="4" t="s">
        <v>172</v>
      </c>
      <c r="G64" s="4">
        <f t="shared" si="2"/>
        <v>1.63</v>
      </c>
      <c r="H64" s="4">
        <v>0.0</v>
      </c>
      <c r="I64" s="4">
        <v>0.0</v>
      </c>
      <c r="J64" s="4">
        <f t="shared" si="3"/>
        <v>0</v>
      </c>
      <c r="K64" s="4">
        <v>0.0</v>
      </c>
      <c r="L64" s="4">
        <f t="shared" si="4"/>
        <v>0</v>
      </c>
      <c r="M64" s="4" t="s">
        <v>172</v>
      </c>
      <c r="N64" s="4">
        <f t="shared" si="5"/>
        <v>1.63</v>
      </c>
      <c r="O64" s="4">
        <v>0.0</v>
      </c>
      <c r="P64" s="4">
        <f t="shared" si="6"/>
        <v>0</v>
      </c>
      <c r="Q64" s="4">
        <v>0.0</v>
      </c>
      <c r="R64" s="4">
        <v>0.0</v>
      </c>
      <c r="S64" s="4">
        <v>128.0</v>
      </c>
      <c r="T64" s="4">
        <v>829.0</v>
      </c>
      <c r="U64" s="4">
        <v>2380.0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4">
        <v>1.927972279E9</v>
      </c>
      <c r="B65" s="4">
        <v>42494.0</v>
      </c>
      <c r="C65" s="4">
        <v>2234.0</v>
      </c>
      <c r="D65" s="4" t="s">
        <v>173</v>
      </c>
      <c r="E65" s="4">
        <f t="shared" si="1"/>
        <v>1.55</v>
      </c>
      <c r="F65" s="4" t="s">
        <v>173</v>
      </c>
      <c r="G65" s="4">
        <f t="shared" si="2"/>
        <v>1.55</v>
      </c>
      <c r="H65" s="4">
        <v>0.0</v>
      </c>
      <c r="I65" s="4">
        <v>0.0</v>
      </c>
      <c r="J65" s="4">
        <f t="shared" si="3"/>
        <v>0</v>
      </c>
      <c r="K65" s="4">
        <v>0.0</v>
      </c>
      <c r="L65" s="4">
        <f t="shared" si="4"/>
        <v>0</v>
      </c>
      <c r="M65" s="4" t="s">
        <v>173</v>
      </c>
      <c r="N65" s="4">
        <f t="shared" si="5"/>
        <v>1.55</v>
      </c>
      <c r="O65" s="4">
        <v>0.0</v>
      </c>
      <c r="P65" s="4">
        <f t="shared" si="6"/>
        <v>0</v>
      </c>
      <c r="Q65" s="4">
        <v>0.0</v>
      </c>
      <c r="R65" s="4">
        <v>0.0</v>
      </c>
      <c r="S65" s="4">
        <v>108.0</v>
      </c>
      <c r="T65" s="4">
        <v>912.0</v>
      </c>
      <c r="U65" s="4">
        <v>2344.0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4">
        <v>1.927972279E9</v>
      </c>
      <c r="B66" s="4">
        <v>42525.0</v>
      </c>
      <c r="C66" s="4">
        <v>1259.0</v>
      </c>
      <c r="D66" s="4" t="s">
        <v>115</v>
      </c>
      <c r="E66" s="4">
        <f t="shared" si="1"/>
        <v>0.87</v>
      </c>
      <c r="F66" s="4" t="s">
        <v>115</v>
      </c>
      <c r="G66" s="4">
        <f t="shared" si="2"/>
        <v>0.87</v>
      </c>
      <c r="H66" s="4">
        <v>0.0</v>
      </c>
      <c r="I66" s="4">
        <v>0.0</v>
      </c>
      <c r="J66" s="4">
        <f t="shared" si="3"/>
        <v>0</v>
      </c>
      <c r="K66" s="4">
        <v>0.0</v>
      </c>
      <c r="L66" s="4">
        <f t="shared" si="4"/>
        <v>0</v>
      </c>
      <c r="M66" s="4" t="s">
        <v>115</v>
      </c>
      <c r="N66" s="4">
        <f t="shared" si="5"/>
        <v>0.87</v>
      </c>
      <c r="O66" s="4">
        <v>0.0</v>
      </c>
      <c r="P66" s="4">
        <f t="shared" si="6"/>
        <v>0</v>
      </c>
      <c r="Q66" s="4">
        <v>0.0</v>
      </c>
      <c r="R66" s="4">
        <v>0.0</v>
      </c>
      <c r="S66" s="4">
        <v>73.0</v>
      </c>
      <c r="T66" s="4">
        <v>938.0</v>
      </c>
      <c r="U66" s="4">
        <v>2202.0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4">
        <v>1.927972279E9</v>
      </c>
      <c r="B67" s="4">
        <v>42555.0</v>
      </c>
      <c r="C67" s="4">
        <v>768.0</v>
      </c>
      <c r="D67" s="4" t="s">
        <v>103</v>
      </c>
      <c r="E67" s="4">
        <f t="shared" si="1"/>
        <v>0.53</v>
      </c>
      <c r="F67" s="4" t="s">
        <v>103</v>
      </c>
      <c r="G67" s="4">
        <f t="shared" si="2"/>
        <v>0.53</v>
      </c>
      <c r="H67" s="4">
        <v>0.0</v>
      </c>
      <c r="I67" s="4">
        <v>0.0</v>
      </c>
      <c r="J67" s="4">
        <f t="shared" si="3"/>
        <v>0</v>
      </c>
      <c r="K67" s="4">
        <v>0.0</v>
      </c>
      <c r="L67" s="4">
        <f t="shared" si="4"/>
        <v>0</v>
      </c>
      <c r="M67" s="4" t="s">
        <v>103</v>
      </c>
      <c r="N67" s="4">
        <f t="shared" si="5"/>
        <v>0.53</v>
      </c>
      <c r="O67" s="4">
        <v>0.0</v>
      </c>
      <c r="P67" s="4">
        <f t="shared" si="6"/>
        <v>0</v>
      </c>
      <c r="Q67" s="4">
        <v>0.0</v>
      </c>
      <c r="R67" s="4">
        <v>0.0</v>
      </c>
      <c r="S67" s="4">
        <v>43.0</v>
      </c>
      <c r="T67" s="4">
        <v>1397.0</v>
      </c>
      <c r="U67" s="4">
        <v>2130.0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4">
        <v>1.927972279E9</v>
      </c>
      <c r="B68" s="4">
        <v>42586.0</v>
      </c>
      <c r="C68" s="4">
        <v>519.0</v>
      </c>
      <c r="D68" s="4" t="s">
        <v>174</v>
      </c>
      <c r="E68" s="4">
        <f t="shared" si="1"/>
        <v>0.36</v>
      </c>
      <c r="F68" s="4" t="s">
        <v>174</v>
      </c>
      <c r="G68" s="4">
        <f t="shared" si="2"/>
        <v>0.36</v>
      </c>
      <c r="H68" s="4">
        <v>0.0</v>
      </c>
      <c r="I68" s="4">
        <v>0.0</v>
      </c>
      <c r="J68" s="4">
        <f t="shared" si="3"/>
        <v>0</v>
      </c>
      <c r="K68" s="4">
        <v>0.0</v>
      </c>
      <c r="L68" s="4">
        <f t="shared" si="4"/>
        <v>0</v>
      </c>
      <c r="M68" s="4" t="s">
        <v>174</v>
      </c>
      <c r="N68" s="4">
        <f t="shared" si="5"/>
        <v>0.36</v>
      </c>
      <c r="O68" s="4">
        <v>0.0</v>
      </c>
      <c r="P68" s="4">
        <f t="shared" si="6"/>
        <v>0</v>
      </c>
      <c r="Q68" s="4">
        <v>0.0</v>
      </c>
      <c r="R68" s="4">
        <v>0.0</v>
      </c>
      <c r="S68" s="4">
        <v>34.0</v>
      </c>
      <c r="T68" s="4">
        <v>1406.0</v>
      </c>
      <c r="U68" s="4">
        <v>2088.0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4">
        <v>1.927972279E9</v>
      </c>
      <c r="B69" s="4">
        <v>42617.0</v>
      </c>
      <c r="C69" s="4">
        <v>2523.0</v>
      </c>
      <c r="D69" s="4" t="s">
        <v>175</v>
      </c>
      <c r="E69" s="4">
        <f t="shared" si="1"/>
        <v>1.75</v>
      </c>
      <c r="F69" s="4" t="s">
        <v>175</v>
      </c>
      <c r="G69" s="4">
        <f t="shared" si="2"/>
        <v>1.75</v>
      </c>
      <c r="H69" s="4">
        <v>0.0</v>
      </c>
      <c r="I69" s="4">
        <v>0.0</v>
      </c>
      <c r="J69" s="4">
        <f t="shared" si="3"/>
        <v>0</v>
      </c>
      <c r="K69" s="4" t="s">
        <v>160</v>
      </c>
      <c r="L69" s="4">
        <f t="shared" si="4"/>
        <v>0.37</v>
      </c>
      <c r="M69" s="4" t="s">
        <v>176</v>
      </c>
      <c r="N69" s="4">
        <f t="shared" si="5"/>
        <v>1.38</v>
      </c>
      <c r="O69" s="4">
        <v>0.0</v>
      </c>
      <c r="P69" s="4">
        <f t="shared" si="6"/>
        <v>0</v>
      </c>
      <c r="Q69" s="4">
        <v>0.0</v>
      </c>
      <c r="R69" s="4">
        <v>9.0</v>
      </c>
      <c r="S69" s="4">
        <v>134.0</v>
      </c>
      <c r="T69" s="4">
        <v>1250.0</v>
      </c>
      <c r="U69" s="4">
        <v>2443.0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4">
        <v>1.927972279E9</v>
      </c>
      <c r="B70" s="4">
        <v>42647.0</v>
      </c>
      <c r="C70" s="4">
        <v>2105.0</v>
      </c>
      <c r="D70" s="4" t="s">
        <v>177</v>
      </c>
      <c r="E70" s="4">
        <f t="shared" si="1"/>
        <v>1.46</v>
      </c>
      <c r="F70" s="4" t="s">
        <v>177</v>
      </c>
      <c r="G70" s="4">
        <f t="shared" si="2"/>
        <v>1.46</v>
      </c>
      <c r="H70" s="4">
        <v>0.0</v>
      </c>
      <c r="I70" s="4">
        <v>0.0</v>
      </c>
      <c r="J70" s="4">
        <f t="shared" si="3"/>
        <v>0</v>
      </c>
      <c r="K70" s="4">
        <v>0.0</v>
      </c>
      <c r="L70" s="4">
        <f t="shared" si="4"/>
        <v>0</v>
      </c>
      <c r="M70" s="4" t="s">
        <v>177</v>
      </c>
      <c r="N70" s="4">
        <f t="shared" si="5"/>
        <v>1.46</v>
      </c>
      <c r="O70" s="4">
        <v>0.0</v>
      </c>
      <c r="P70" s="4">
        <f t="shared" si="6"/>
        <v>0</v>
      </c>
      <c r="Q70" s="4">
        <v>0.0</v>
      </c>
      <c r="R70" s="4">
        <v>0.0</v>
      </c>
      <c r="S70" s="4">
        <v>139.0</v>
      </c>
      <c r="T70" s="4">
        <v>805.0</v>
      </c>
      <c r="U70" s="4">
        <v>2442.0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4">
        <v>1.927972279E9</v>
      </c>
      <c r="B71" s="4">
        <v>42678.0</v>
      </c>
      <c r="C71" s="4">
        <v>1209.0</v>
      </c>
      <c r="D71" s="4" t="s">
        <v>178</v>
      </c>
      <c r="E71" s="4">
        <f t="shared" si="1"/>
        <v>0.84</v>
      </c>
      <c r="F71" s="4" t="s">
        <v>178</v>
      </c>
      <c r="G71" s="4">
        <f t="shared" si="2"/>
        <v>0.84</v>
      </c>
      <c r="H71" s="4">
        <v>0.0</v>
      </c>
      <c r="I71" s="4">
        <v>0.0</v>
      </c>
      <c r="J71" s="4">
        <f t="shared" si="3"/>
        <v>0</v>
      </c>
      <c r="K71" s="4">
        <v>0.0</v>
      </c>
      <c r="L71" s="4">
        <f t="shared" si="4"/>
        <v>0</v>
      </c>
      <c r="M71" s="4" t="s">
        <v>178</v>
      </c>
      <c r="N71" s="4">
        <f t="shared" si="5"/>
        <v>0.84</v>
      </c>
      <c r="O71" s="4">
        <v>0.0</v>
      </c>
      <c r="P71" s="4">
        <f t="shared" si="6"/>
        <v>0</v>
      </c>
      <c r="Q71" s="4">
        <v>0.0</v>
      </c>
      <c r="R71" s="4">
        <v>0.0</v>
      </c>
      <c r="S71" s="4">
        <v>73.0</v>
      </c>
      <c r="T71" s="4">
        <v>842.0</v>
      </c>
      <c r="U71" s="4">
        <v>2255.0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4">
        <v>1.927972279E9</v>
      </c>
      <c r="B72" s="4">
        <v>42708.0</v>
      </c>
      <c r="C72" s="4">
        <v>24.0</v>
      </c>
      <c r="D72" s="4" t="s">
        <v>179</v>
      </c>
      <c r="E72" s="4">
        <f t="shared" si="1"/>
        <v>0.02</v>
      </c>
      <c r="F72" s="4" t="s">
        <v>179</v>
      </c>
      <c r="G72" s="4">
        <f t="shared" si="2"/>
        <v>0.02</v>
      </c>
      <c r="H72" s="4">
        <v>0.0</v>
      </c>
      <c r="I72" s="4">
        <v>0.0</v>
      </c>
      <c r="J72" s="4">
        <f t="shared" si="3"/>
        <v>0</v>
      </c>
      <c r="K72" s="4">
        <v>0.0</v>
      </c>
      <c r="L72" s="4">
        <f t="shared" si="4"/>
        <v>0</v>
      </c>
      <c r="M72" s="4" t="s">
        <v>179</v>
      </c>
      <c r="N72" s="4">
        <f t="shared" si="5"/>
        <v>0.02</v>
      </c>
      <c r="O72" s="4">
        <v>0.0</v>
      </c>
      <c r="P72" s="4">
        <f t="shared" si="6"/>
        <v>0</v>
      </c>
      <c r="Q72" s="4">
        <v>0.0</v>
      </c>
      <c r="R72" s="4">
        <v>0.0</v>
      </c>
      <c r="S72" s="4">
        <v>3.0</v>
      </c>
      <c r="T72" s="4">
        <v>161.0</v>
      </c>
      <c r="U72" s="4">
        <v>942.0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4">
        <v>2.022484408E9</v>
      </c>
      <c r="B73" s="4">
        <v>42373.0</v>
      </c>
      <c r="C73" s="4">
        <v>13603.0</v>
      </c>
      <c r="D73" s="4" t="s">
        <v>180</v>
      </c>
      <c r="E73" s="4">
        <f t="shared" si="1"/>
        <v>9.6</v>
      </c>
      <c r="F73" s="4" t="s">
        <v>180</v>
      </c>
      <c r="G73" s="4">
        <f t="shared" si="2"/>
        <v>9.6</v>
      </c>
      <c r="H73" s="4">
        <v>0.0</v>
      </c>
      <c r="I73" s="4" t="s">
        <v>181</v>
      </c>
      <c r="J73" s="4">
        <f t="shared" si="3"/>
        <v>5.46</v>
      </c>
      <c r="K73" s="4" t="s">
        <v>182</v>
      </c>
      <c r="L73" s="4">
        <f t="shared" si="4"/>
        <v>0.63</v>
      </c>
      <c r="M73" s="4" t="s">
        <v>163</v>
      </c>
      <c r="N73" s="4">
        <f t="shared" si="5"/>
        <v>3.51</v>
      </c>
      <c r="O73" s="4">
        <v>0.0</v>
      </c>
      <c r="P73" s="4">
        <f t="shared" si="6"/>
        <v>0</v>
      </c>
      <c r="Q73" s="4">
        <v>72.0</v>
      </c>
      <c r="R73" s="4">
        <v>16.0</v>
      </c>
      <c r="S73" s="4">
        <v>213.0</v>
      </c>
      <c r="T73" s="4">
        <v>1139.0</v>
      </c>
      <c r="U73" s="4">
        <v>2645.0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4">
        <v>2.022484408E9</v>
      </c>
      <c r="B74" s="4">
        <v>42404.0</v>
      </c>
      <c r="C74" s="4">
        <v>5477.0</v>
      </c>
      <c r="D74" s="4" t="s">
        <v>183</v>
      </c>
      <c r="E74" s="4">
        <f t="shared" si="1"/>
        <v>3.84</v>
      </c>
      <c r="F74" s="4" t="s">
        <v>183</v>
      </c>
      <c r="G74" s="4">
        <f t="shared" si="2"/>
        <v>3.84</v>
      </c>
      <c r="H74" s="4">
        <v>0.0</v>
      </c>
      <c r="I74" s="4">
        <v>0.0</v>
      </c>
      <c r="J74" s="4">
        <f t="shared" si="3"/>
        <v>0</v>
      </c>
      <c r="K74" s="4">
        <v>0.0</v>
      </c>
      <c r="L74" s="4">
        <f t="shared" si="4"/>
        <v>0</v>
      </c>
      <c r="M74" s="4" t="s">
        <v>183</v>
      </c>
      <c r="N74" s="4">
        <f t="shared" si="5"/>
        <v>3.84</v>
      </c>
      <c r="O74" s="4">
        <v>0.0</v>
      </c>
      <c r="P74" s="4">
        <f t="shared" si="6"/>
        <v>0</v>
      </c>
      <c r="Q74" s="4">
        <v>0.0</v>
      </c>
      <c r="R74" s="4">
        <v>0.0</v>
      </c>
      <c r="S74" s="4">
        <v>237.0</v>
      </c>
      <c r="T74" s="4">
        <v>1203.0</v>
      </c>
      <c r="U74" s="4">
        <v>2040.0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4">
        <v>2.022484408E9</v>
      </c>
      <c r="B75" s="4">
        <v>42433.0</v>
      </c>
      <c r="C75" s="4">
        <v>11144.0</v>
      </c>
      <c r="D75" s="4" t="s">
        <v>184</v>
      </c>
      <c r="E75" s="4">
        <f t="shared" si="1"/>
        <v>7.82</v>
      </c>
      <c r="F75" s="4" t="s">
        <v>184</v>
      </c>
      <c r="G75" s="4">
        <f t="shared" si="2"/>
        <v>7.82</v>
      </c>
      <c r="H75" s="4">
        <v>0.0</v>
      </c>
      <c r="I75" s="4" t="s">
        <v>185</v>
      </c>
      <c r="J75" s="4">
        <f t="shared" si="3"/>
        <v>1.79</v>
      </c>
      <c r="K75" s="4" t="s">
        <v>186</v>
      </c>
      <c r="L75" s="4">
        <f t="shared" si="4"/>
        <v>0.89</v>
      </c>
      <c r="M75" s="4" t="s">
        <v>187</v>
      </c>
      <c r="N75" s="4">
        <f t="shared" si="5"/>
        <v>5.14</v>
      </c>
      <c r="O75" s="4">
        <v>0.0</v>
      </c>
      <c r="P75" s="4">
        <f t="shared" si="6"/>
        <v>0</v>
      </c>
      <c r="Q75" s="4">
        <v>25.0</v>
      </c>
      <c r="R75" s="4">
        <v>22.0</v>
      </c>
      <c r="S75" s="4">
        <v>279.0</v>
      </c>
      <c r="T75" s="4">
        <v>1114.0</v>
      </c>
      <c r="U75" s="4">
        <v>2395.0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4">
        <v>2.022484408E9</v>
      </c>
      <c r="B76" s="4">
        <v>42464.0</v>
      </c>
      <c r="C76" s="4">
        <v>15313.0</v>
      </c>
      <c r="D76" s="4">
        <v>11.0</v>
      </c>
      <c r="E76" s="4">
        <f t="shared" si="1"/>
        <v>11</v>
      </c>
      <c r="F76" s="4">
        <v>11.0</v>
      </c>
      <c r="G76" s="4">
        <f t="shared" si="2"/>
        <v>11</v>
      </c>
      <c r="H76" s="4">
        <v>0.0</v>
      </c>
      <c r="I76" s="4" t="s">
        <v>188</v>
      </c>
      <c r="J76" s="4">
        <f t="shared" si="3"/>
        <v>5.02</v>
      </c>
      <c r="K76" s="4" t="s">
        <v>105</v>
      </c>
      <c r="L76" s="4">
        <f t="shared" si="4"/>
        <v>1.29</v>
      </c>
      <c r="M76" s="4" t="s">
        <v>189</v>
      </c>
      <c r="N76" s="4">
        <f t="shared" si="5"/>
        <v>4.69</v>
      </c>
      <c r="O76" s="4">
        <v>0.0</v>
      </c>
      <c r="P76" s="4">
        <f t="shared" si="6"/>
        <v>0</v>
      </c>
      <c r="Q76" s="4">
        <v>62.0</v>
      </c>
      <c r="R76" s="4">
        <v>19.0</v>
      </c>
      <c r="S76" s="4">
        <v>233.0</v>
      </c>
      <c r="T76" s="4">
        <v>1126.0</v>
      </c>
      <c r="U76" s="4">
        <v>2581.0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4">
        <v>2.022484408E9</v>
      </c>
      <c r="B77" s="4">
        <v>42494.0</v>
      </c>
      <c r="C77" s="4">
        <v>10805.0</v>
      </c>
      <c r="D77" s="4" t="s">
        <v>190</v>
      </c>
      <c r="E77" s="4">
        <f t="shared" si="1"/>
        <v>7.59</v>
      </c>
      <c r="F77" s="4" t="s">
        <v>190</v>
      </c>
      <c r="G77" s="4">
        <f t="shared" si="2"/>
        <v>7.59</v>
      </c>
      <c r="H77" s="4">
        <v>0.0</v>
      </c>
      <c r="I77" s="4" t="s">
        <v>117</v>
      </c>
      <c r="J77" s="4">
        <f t="shared" si="3"/>
        <v>0.72</v>
      </c>
      <c r="K77" s="4" t="s">
        <v>191</v>
      </c>
      <c r="L77" s="4">
        <f t="shared" si="4"/>
        <v>0.98</v>
      </c>
      <c r="M77" s="4" t="s">
        <v>192</v>
      </c>
      <c r="N77" s="4">
        <f t="shared" si="5"/>
        <v>5.89</v>
      </c>
      <c r="O77" s="4">
        <v>0.0</v>
      </c>
      <c r="P77" s="4">
        <f t="shared" si="6"/>
        <v>0</v>
      </c>
      <c r="Q77" s="4">
        <v>36.0</v>
      </c>
      <c r="R77" s="4">
        <v>37.0</v>
      </c>
      <c r="S77" s="4">
        <v>298.0</v>
      </c>
      <c r="T77" s="4">
        <v>1069.0</v>
      </c>
      <c r="U77" s="4">
        <v>2735.0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4">
        <v>2.022484408E9</v>
      </c>
      <c r="B78" s="4">
        <v>42525.0</v>
      </c>
      <c r="C78" s="4">
        <v>15392.0</v>
      </c>
      <c r="D78" s="4" t="s">
        <v>193</v>
      </c>
      <c r="E78" s="4">
        <f t="shared" si="1"/>
        <v>10.93</v>
      </c>
      <c r="F78" s="4" t="s">
        <v>193</v>
      </c>
      <c r="G78" s="4">
        <f t="shared" si="2"/>
        <v>10.93</v>
      </c>
      <c r="H78" s="4">
        <v>0.0</v>
      </c>
      <c r="I78" s="4" t="s">
        <v>194</v>
      </c>
      <c r="J78" s="4">
        <f t="shared" si="3"/>
        <v>3.43</v>
      </c>
      <c r="K78" s="4" t="s">
        <v>175</v>
      </c>
      <c r="L78" s="4">
        <f t="shared" si="4"/>
        <v>1.75</v>
      </c>
      <c r="M78" s="4" t="s">
        <v>195</v>
      </c>
      <c r="N78" s="4">
        <f t="shared" si="5"/>
        <v>5.75</v>
      </c>
      <c r="O78" s="4">
        <v>0.0</v>
      </c>
      <c r="P78" s="4">
        <f t="shared" si="6"/>
        <v>0</v>
      </c>
      <c r="Q78" s="4">
        <v>47.0</v>
      </c>
      <c r="R78" s="4">
        <v>42.0</v>
      </c>
      <c r="S78" s="4">
        <v>258.0</v>
      </c>
      <c r="T78" s="4">
        <v>1093.0</v>
      </c>
      <c r="U78" s="4">
        <v>2733.0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4">
        <v>2.022484408E9</v>
      </c>
      <c r="B79" s="4">
        <v>42555.0</v>
      </c>
      <c r="C79" s="4">
        <v>18247.0</v>
      </c>
      <c r="D79" s="4" t="s">
        <v>196</v>
      </c>
      <c r="E79" s="4">
        <f t="shared" si="1"/>
        <v>13.83</v>
      </c>
      <c r="F79" s="4" t="s">
        <v>196</v>
      </c>
      <c r="G79" s="4">
        <f t="shared" si="2"/>
        <v>13.83</v>
      </c>
      <c r="H79" s="4">
        <v>0.0</v>
      </c>
      <c r="I79" s="4" t="s">
        <v>22</v>
      </c>
      <c r="J79" s="4">
        <f t="shared" si="3"/>
        <v>7.11</v>
      </c>
      <c r="K79" s="4" t="s">
        <v>171</v>
      </c>
      <c r="L79" s="4">
        <f t="shared" si="4"/>
        <v>2.21</v>
      </c>
      <c r="M79" s="4" t="s">
        <v>197</v>
      </c>
      <c r="N79" s="4">
        <f t="shared" si="5"/>
        <v>4.51</v>
      </c>
      <c r="O79" s="4">
        <v>0.0</v>
      </c>
      <c r="P79" s="4">
        <f t="shared" si="6"/>
        <v>0</v>
      </c>
      <c r="Q79" s="4">
        <v>72.0</v>
      </c>
      <c r="R79" s="4">
        <v>62.0</v>
      </c>
      <c r="S79" s="4">
        <v>252.0</v>
      </c>
      <c r="T79" s="4">
        <v>1054.0</v>
      </c>
      <c r="U79" s="4">
        <v>3021.0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4">
        <v>2.022484408E9</v>
      </c>
      <c r="B80" s="4">
        <v>42586.0</v>
      </c>
      <c r="C80" s="4">
        <v>13023.0</v>
      </c>
      <c r="D80" s="4" t="s">
        <v>198</v>
      </c>
      <c r="E80" s="4">
        <f t="shared" si="1"/>
        <v>9.26</v>
      </c>
      <c r="F80" s="4" t="s">
        <v>198</v>
      </c>
      <c r="G80" s="4">
        <f t="shared" si="2"/>
        <v>9.26</v>
      </c>
      <c r="H80" s="4">
        <v>0.0</v>
      </c>
      <c r="I80" s="4" t="s">
        <v>199</v>
      </c>
      <c r="J80" s="4">
        <f t="shared" si="3"/>
        <v>3.23</v>
      </c>
      <c r="K80" s="4" t="s">
        <v>200</v>
      </c>
      <c r="L80" s="4">
        <f t="shared" si="4"/>
        <v>0.56</v>
      </c>
      <c r="M80" s="4" t="s">
        <v>201</v>
      </c>
      <c r="N80" s="4">
        <f t="shared" si="5"/>
        <v>5.47</v>
      </c>
      <c r="O80" s="4">
        <v>0.0</v>
      </c>
      <c r="P80" s="4">
        <f t="shared" si="6"/>
        <v>0</v>
      </c>
      <c r="Q80" s="4">
        <v>40.0</v>
      </c>
      <c r="R80" s="4">
        <v>12.0</v>
      </c>
      <c r="S80" s="4">
        <v>296.0</v>
      </c>
      <c r="T80" s="4">
        <v>1092.0</v>
      </c>
      <c r="U80" s="4">
        <v>2577.0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4">
        <v>2.022484408E9</v>
      </c>
      <c r="B81" s="4">
        <v>42617.0</v>
      </c>
      <c r="C81" s="4">
        <v>16267.0</v>
      </c>
      <c r="D81" s="4" t="s">
        <v>202</v>
      </c>
      <c r="E81" s="4">
        <f t="shared" si="1"/>
        <v>12.59</v>
      </c>
      <c r="F81" s="4" t="s">
        <v>202</v>
      </c>
      <c r="G81" s="4">
        <f t="shared" si="2"/>
        <v>12.59</v>
      </c>
      <c r="H81" s="4">
        <v>0.0</v>
      </c>
      <c r="I81" s="4" t="s">
        <v>195</v>
      </c>
      <c r="J81" s="4">
        <f t="shared" si="3"/>
        <v>5.75</v>
      </c>
      <c r="K81" s="4" t="s">
        <v>123</v>
      </c>
      <c r="L81" s="4">
        <f t="shared" si="4"/>
        <v>0.47</v>
      </c>
      <c r="M81" s="4" t="s">
        <v>67</v>
      </c>
      <c r="N81" s="4">
        <f t="shared" si="5"/>
        <v>6.37</v>
      </c>
      <c r="O81" s="4">
        <v>0.0</v>
      </c>
      <c r="P81" s="4">
        <f t="shared" si="6"/>
        <v>0</v>
      </c>
      <c r="Q81" s="4">
        <v>44.0</v>
      </c>
      <c r="R81" s="4">
        <v>16.0</v>
      </c>
      <c r="S81" s="4">
        <v>302.0</v>
      </c>
      <c r="T81" s="4">
        <v>1078.0</v>
      </c>
      <c r="U81" s="4">
        <v>2811.0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4">
        <v>2.022484408E9</v>
      </c>
      <c r="B82" s="4">
        <v>42647.0</v>
      </c>
      <c r="C82" s="4">
        <v>10005.0</v>
      </c>
      <c r="D82" s="4" t="s">
        <v>203</v>
      </c>
      <c r="E82" s="4">
        <f t="shared" si="1"/>
        <v>7.02</v>
      </c>
      <c r="F82" s="4" t="s">
        <v>203</v>
      </c>
      <c r="G82" s="4">
        <f t="shared" si="2"/>
        <v>7.02</v>
      </c>
      <c r="H82" s="4">
        <v>0.0</v>
      </c>
      <c r="I82" s="4" t="s">
        <v>204</v>
      </c>
      <c r="J82" s="4">
        <f t="shared" si="3"/>
        <v>0.08</v>
      </c>
      <c r="K82" s="4" t="s">
        <v>205</v>
      </c>
      <c r="L82" s="4">
        <f t="shared" si="4"/>
        <v>1.05</v>
      </c>
      <c r="M82" s="4" t="s">
        <v>206</v>
      </c>
      <c r="N82" s="4">
        <f t="shared" si="5"/>
        <v>5.9</v>
      </c>
      <c r="O82" s="4">
        <v>0.0</v>
      </c>
      <c r="P82" s="4">
        <f t="shared" si="6"/>
        <v>0</v>
      </c>
      <c r="Q82" s="4">
        <v>1.0</v>
      </c>
      <c r="R82" s="4">
        <v>23.0</v>
      </c>
      <c r="S82" s="4">
        <v>339.0</v>
      </c>
      <c r="T82" s="4">
        <v>1077.0</v>
      </c>
      <c r="U82" s="4">
        <v>2458.0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4">
        <v>2.022484408E9</v>
      </c>
      <c r="B83" s="4">
        <v>42678.0</v>
      </c>
      <c r="C83" s="4">
        <v>10106.0</v>
      </c>
      <c r="D83" s="4" t="s">
        <v>207</v>
      </c>
      <c r="E83" s="4">
        <f t="shared" si="1"/>
        <v>7.09</v>
      </c>
      <c r="F83" s="4" t="s">
        <v>207</v>
      </c>
      <c r="G83" s="4">
        <f t="shared" si="2"/>
        <v>7.09</v>
      </c>
      <c r="H83" s="4">
        <v>0.0</v>
      </c>
      <c r="I83" s="4" t="s">
        <v>208</v>
      </c>
      <c r="J83" s="4">
        <f t="shared" si="3"/>
        <v>1.21</v>
      </c>
      <c r="K83" s="4" t="s">
        <v>200</v>
      </c>
      <c r="L83" s="4">
        <f t="shared" si="4"/>
        <v>0.56</v>
      </c>
      <c r="M83" s="4" t="s">
        <v>209</v>
      </c>
      <c r="N83" s="4">
        <f t="shared" si="5"/>
        <v>5.33</v>
      </c>
      <c r="O83" s="4">
        <v>0.0</v>
      </c>
      <c r="P83" s="4">
        <f t="shared" si="6"/>
        <v>0</v>
      </c>
      <c r="Q83" s="4">
        <v>41.0</v>
      </c>
      <c r="R83" s="4">
        <v>16.0</v>
      </c>
      <c r="S83" s="4">
        <v>272.0</v>
      </c>
      <c r="T83" s="4">
        <v>1111.0</v>
      </c>
      <c r="U83" s="4">
        <v>2568.0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4">
        <v>2.022484408E9</v>
      </c>
      <c r="B84" s="4">
        <v>42708.0</v>
      </c>
      <c r="C84" s="4">
        <v>6717.0</v>
      </c>
      <c r="D84" s="4" t="s">
        <v>210</v>
      </c>
      <c r="E84" s="4">
        <f t="shared" si="1"/>
        <v>4.72</v>
      </c>
      <c r="F84" s="4" t="s">
        <v>210</v>
      </c>
      <c r="G84" s="4">
        <f t="shared" si="2"/>
        <v>4.72</v>
      </c>
      <c r="H84" s="4">
        <v>0.0</v>
      </c>
      <c r="I84" s="4" t="s">
        <v>199</v>
      </c>
      <c r="J84" s="4">
        <f t="shared" si="3"/>
        <v>3.23</v>
      </c>
      <c r="K84" s="4" t="s">
        <v>211</v>
      </c>
      <c r="L84" s="4">
        <f t="shared" si="4"/>
        <v>0.22</v>
      </c>
      <c r="M84" s="4" t="s">
        <v>212</v>
      </c>
      <c r="N84" s="4">
        <f t="shared" si="5"/>
        <v>1.27</v>
      </c>
      <c r="O84" s="4">
        <v>0.0</v>
      </c>
      <c r="P84" s="4">
        <f t="shared" si="6"/>
        <v>0</v>
      </c>
      <c r="Q84" s="4">
        <v>41.0</v>
      </c>
      <c r="R84" s="4">
        <v>5.0</v>
      </c>
      <c r="S84" s="4">
        <v>67.0</v>
      </c>
      <c r="T84" s="4">
        <v>551.0</v>
      </c>
      <c r="U84" s="4">
        <v>1140.0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4">
        <v>2.026352035E9</v>
      </c>
      <c r="B85" s="4">
        <v>42373.0</v>
      </c>
      <c r="C85" s="4">
        <v>2605.0</v>
      </c>
      <c r="D85" s="4" t="s">
        <v>213</v>
      </c>
      <c r="E85" s="4">
        <f t="shared" si="1"/>
        <v>1.62</v>
      </c>
      <c r="F85" s="4" t="s">
        <v>213</v>
      </c>
      <c r="G85" s="4">
        <f t="shared" si="2"/>
        <v>1.62</v>
      </c>
      <c r="H85" s="4">
        <v>0.0</v>
      </c>
      <c r="I85" s="4">
        <v>0.0</v>
      </c>
      <c r="J85" s="4">
        <f t="shared" si="3"/>
        <v>0</v>
      </c>
      <c r="K85" s="4">
        <v>0.0</v>
      </c>
      <c r="L85" s="4">
        <f t="shared" si="4"/>
        <v>0</v>
      </c>
      <c r="M85" s="4" t="s">
        <v>213</v>
      </c>
      <c r="N85" s="4">
        <f t="shared" si="5"/>
        <v>1.62</v>
      </c>
      <c r="O85" s="4">
        <v>0.0</v>
      </c>
      <c r="P85" s="4">
        <f t="shared" si="6"/>
        <v>0</v>
      </c>
      <c r="Q85" s="4">
        <v>0.0</v>
      </c>
      <c r="R85" s="4">
        <v>0.0</v>
      </c>
      <c r="S85" s="4">
        <v>166.0</v>
      </c>
      <c r="T85" s="4">
        <v>729.0</v>
      </c>
      <c r="U85" s="4">
        <v>1407.0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4">
        <v>2.026352035E9</v>
      </c>
      <c r="B86" s="4">
        <v>42404.0</v>
      </c>
      <c r="C86" s="4">
        <v>1229.0</v>
      </c>
      <c r="D86" s="4" t="s">
        <v>77</v>
      </c>
      <c r="E86" s="4">
        <f t="shared" si="1"/>
        <v>0.76</v>
      </c>
      <c r="F86" s="4" t="s">
        <v>77</v>
      </c>
      <c r="G86" s="4">
        <f t="shared" si="2"/>
        <v>0.76</v>
      </c>
      <c r="H86" s="4">
        <v>0.0</v>
      </c>
      <c r="I86" s="4">
        <v>0.0</v>
      </c>
      <c r="J86" s="4">
        <f t="shared" si="3"/>
        <v>0</v>
      </c>
      <c r="K86" s="4">
        <v>0.0</v>
      </c>
      <c r="L86" s="4">
        <f t="shared" si="4"/>
        <v>0</v>
      </c>
      <c r="M86" s="4" t="s">
        <v>77</v>
      </c>
      <c r="N86" s="4">
        <f t="shared" si="5"/>
        <v>0.76</v>
      </c>
      <c r="O86" s="4">
        <v>0.0</v>
      </c>
      <c r="P86" s="4">
        <f t="shared" si="6"/>
        <v>0</v>
      </c>
      <c r="Q86" s="4">
        <v>0.0</v>
      </c>
      <c r="R86" s="4">
        <v>0.0</v>
      </c>
      <c r="S86" s="4">
        <v>69.0</v>
      </c>
      <c r="T86" s="4">
        <v>795.0</v>
      </c>
      <c r="U86" s="4">
        <v>1237.0</v>
      </c>
      <c r="V86" s="5"/>
      <c r="W86" s="4" t="s">
        <v>214</v>
      </c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4">
        <v>2.026352035E9</v>
      </c>
      <c r="B87" s="4">
        <v>42433.0</v>
      </c>
      <c r="C87" s="4">
        <v>2308.0</v>
      </c>
      <c r="D87" s="4" t="s">
        <v>215</v>
      </c>
      <c r="E87" s="4">
        <f t="shared" si="1"/>
        <v>1.43</v>
      </c>
      <c r="F87" s="4" t="s">
        <v>215</v>
      </c>
      <c r="G87" s="4">
        <f t="shared" si="2"/>
        <v>1.43</v>
      </c>
      <c r="H87" s="4">
        <v>0.0</v>
      </c>
      <c r="I87" s="4">
        <v>0.0</v>
      </c>
      <c r="J87" s="4">
        <f t="shared" si="3"/>
        <v>0</v>
      </c>
      <c r="K87" s="4">
        <v>0.0</v>
      </c>
      <c r="L87" s="4">
        <f t="shared" si="4"/>
        <v>0</v>
      </c>
      <c r="M87" s="4" t="s">
        <v>215</v>
      </c>
      <c r="N87" s="4">
        <f t="shared" si="5"/>
        <v>1.43</v>
      </c>
      <c r="O87" s="4">
        <v>0.0</v>
      </c>
      <c r="P87" s="4">
        <f t="shared" si="6"/>
        <v>0</v>
      </c>
      <c r="Q87" s="4">
        <v>0.0</v>
      </c>
      <c r="R87" s="4">
        <v>0.0</v>
      </c>
      <c r="S87" s="4">
        <v>115.0</v>
      </c>
      <c r="T87" s="4">
        <v>720.0</v>
      </c>
      <c r="U87" s="4">
        <v>1330.0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4">
        <v>2.026352035E9</v>
      </c>
      <c r="B88" s="4">
        <v>42464.0</v>
      </c>
      <c r="C88" s="4">
        <v>6679.0</v>
      </c>
      <c r="D88" s="4" t="s">
        <v>216</v>
      </c>
      <c r="E88" s="4">
        <f t="shared" si="1"/>
        <v>4.14</v>
      </c>
      <c r="F88" s="4" t="s">
        <v>216</v>
      </c>
      <c r="G88" s="4">
        <f t="shared" si="2"/>
        <v>4.14</v>
      </c>
      <c r="H88" s="4">
        <v>0.0</v>
      </c>
      <c r="I88" s="4">
        <v>0.0</v>
      </c>
      <c r="J88" s="4">
        <f t="shared" si="3"/>
        <v>0</v>
      </c>
      <c r="K88" s="4">
        <v>0.0</v>
      </c>
      <c r="L88" s="4">
        <f t="shared" si="4"/>
        <v>0</v>
      </c>
      <c r="M88" s="4" t="s">
        <v>216</v>
      </c>
      <c r="N88" s="4">
        <f t="shared" si="5"/>
        <v>4.14</v>
      </c>
      <c r="O88" s="4">
        <v>0.0</v>
      </c>
      <c r="P88" s="4">
        <f t="shared" si="6"/>
        <v>0</v>
      </c>
      <c r="Q88" s="4">
        <v>0.0</v>
      </c>
      <c r="R88" s="4">
        <v>0.0</v>
      </c>
      <c r="S88" s="4">
        <v>263.0</v>
      </c>
      <c r="T88" s="4">
        <v>644.0</v>
      </c>
      <c r="U88" s="4">
        <v>1583.0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4">
        <v>2.026352035E9</v>
      </c>
      <c r="B89" s="4">
        <v>42525.0</v>
      </c>
      <c r="C89" s="4">
        <v>3180.0</v>
      </c>
      <c r="D89" s="4" t="s">
        <v>217</v>
      </c>
      <c r="E89" s="4">
        <f t="shared" si="1"/>
        <v>1.97</v>
      </c>
      <c r="F89" s="4" t="s">
        <v>217</v>
      </c>
      <c r="G89" s="4">
        <f t="shared" si="2"/>
        <v>1.97</v>
      </c>
      <c r="H89" s="4">
        <v>0.0</v>
      </c>
      <c r="I89" s="4">
        <v>0.0</v>
      </c>
      <c r="J89" s="4">
        <f t="shared" si="3"/>
        <v>0</v>
      </c>
      <c r="K89" s="4">
        <v>0.0</v>
      </c>
      <c r="L89" s="4">
        <f t="shared" si="4"/>
        <v>0</v>
      </c>
      <c r="M89" s="4" t="s">
        <v>217</v>
      </c>
      <c r="N89" s="4">
        <f t="shared" si="5"/>
        <v>1.97</v>
      </c>
      <c r="O89" s="4">
        <v>0.0</v>
      </c>
      <c r="P89" s="4">
        <f t="shared" si="6"/>
        <v>0</v>
      </c>
      <c r="Q89" s="4">
        <v>0.0</v>
      </c>
      <c r="R89" s="4">
        <v>0.0</v>
      </c>
      <c r="S89" s="4">
        <v>185.0</v>
      </c>
      <c r="T89" s="4">
        <v>738.0</v>
      </c>
      <c r="U89" s="4">
        <v>1421.0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4">
        <v>2.026352035E9</v>
      </c>
      <c r="B90" s="4">
        <v>42555.0</v>
      </c>
      <c r="C90" s="4">
        <v>2767.0</v>
      </c>
      <c r="D90" s="4" t="s">
        <v>218</v>
      </c>
      <c r="E90" s="4">
        <f t="shared" si="1"/>
        <v>1.72</v>
      </c>
      <c r="F90" s="4" t="s">
        <v>218</v>
      </c>
      <c r="G90" s="4">
        <f t="shared" si="2"/>
        <v>1.72</v>
      </c>
      <c r="H90" s="4">
        <v>0.0</v>
      </c>
      <c r="I90" s="4">
        <v>0.0</v>
      </c>
      <c r="J90" s="4">
        <f t="shared" si="3"/>
        <v>0</v>
      </c>
      <c r="K90" s="4">
        <v>0.0</v>
      </c>
      <c r="L90" s="4">
        <f t="shared" si="4"/>
        <v>0</v>
      </c>
      <c r="M90" s="4" t="s">
        <v>218</v>
      </c>
      <c r="N90" s="4">
        <f t="shared" si="5"/>
        <v>1.72</v>
      </c>
      <c r="O90" s="4">
        <v>0.0</v>
      </c>
      <c r="P90" s="4">
        <f t="shared" si="6"/>
        <v>0</v>
      </c>
      <c r="Q90" s="4">
        <v>0.0</v>
      </c>
      <c r="R90" s="4">
        <v>0.0</v>
      </c>
      <c r="S90" s="4">
        <v>170.0</v>
      </c>
      <c r="T90" s="4">
        <v>673.0</v>
      </c>
      <c r="U90" s="4">
        <v>1392.0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4">
        <v>2.026352035E9</v>
      </c>
      <c r="B91" s="4">
        <v>42586.0</v>
      </c>
      <c r="C91" s="4">
        <v>3762.0</v>
      </c>
      <c r="D91" s="4" t="s">
        <v>219</v>
      </c>
      <c r="E91" s="4">
        <f t="shared" si="1"/>
        <v>2.33</v>
      </c>
      <c r="F91" s="4" t="s">
        <v>219</v>
      </c>
      <c r="G91" s="4">
        <f t="shared" si="2"/>
        <v>2.33</v>
      </c>
      <c r="H91" s="4">
        <v>0.0</v>
      </c>
      <c r="I91" s="4">
        <v>0.0</v>
      </c>
      <c r="J91" s="4">
        <f t="shared" si="3"/>
        <v>0</v>
      </c>
      <c r="K91" s="4">
        <v>0.0</v>
      </c>
      <c r="L91" s="4">
        <f t="shared" si="4"/>
        <v>0</v>
      </c>
      <c r="M91" s="4" t="s">
        <v>219</v>
      </c>
      <c r="N91" s="4">
        <f t="shared" si="5"/>
        <v>2.33</v>
      </c>
      <c r="O91" s="4">
        <v>0.0</v>
      </c>
      <c r="P91" s="4">
        <f t="shared" si="6"/>
        <v>0</v>
      </c>
      <c r="Q91" s="4">
        <v>0.0</v>
      </c>
      <c r="R91" s="4">
        <v>0.0</v>
      </c>
      <c r="S91" s="4">
        <v>173.0</v>
      </c>
      <c r="T91" s="4">
        <v>719.0</v>
      </c>
      <c r="U91" s="4">
        <v>1425.0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4">
        <v>2.026352035E9</v>
      </c>
      <c r="B92" s="4">
        <v>42617.0</v>
      </c>
      <c r="C92" s="4">
        <v>3098.0</v>
      </c>
      <c r="D92" s="4" t="s">
        <v>220</v>
      </c>
      <c r="E92" s="4">
        <f t="shared" si="1"/>
        <v>1.92</v>
      </c>
      <c r="F92" s="4" t="s">
        <v>220</v>
      </c>
      <c r="G92" s="4">
        <f t="shared" si="2"/>
        <v>1.92</v>
      </c>
      <c r="H92" s="4">
        <v>0.0</v>
      </c>
      <c r="I92" s="4">
        <v>0.0</v>
      </c>
      <c r="J92" s="4">
        <f t="shared" si="3"/>
        <v>0</v>
      </c>
      <c r="K92" s="4">
        <v>0.0</v>
      </c>
      <c r="L92" s="4">
        <f t="shared" si="4"/>
        <v>0</v>
      </c>
      <c r="M92" s="4" t="s">
        <v>220</v>
      </c>
      <c r="N92" s="4">
        <f t="shared" si="5"/>
        <v>1.92</v>
      </c>
      <c r="O92" s="4">
        <v>0.0</v>
      </c>
      <c r="P92" s="4">
        <f t="shared" si="6"/>
        <v>0</v>
      </c>
      <c r="Q92" s="4">
        <v>0.0</v>
      </c>
      <c r="R92" s="4">
        <v>0.0</v>
      </c>
      <c r="S92" s="4">
        <v>185.0</v>
      </c>
      <c r="T92" s="4">
        <v>700.0</v>
      </c>
      <c r="U92" s="4">
        <v>1413.0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4">
        <v>2.026352035E9</v>
      </c>
      <c r="B93" s="4">
        <v>42647.0</v>
      </c>
      <c r="C93" s="4">
        <v>5142.0</v>
      </c>
      <c r="D93" s="4" t="s">
        <v>38</v>
      </c>
      <c r="E93" s="4">
        <f t="shared" si="1"/>
        <v>3.19</v>
      </c>
      <c r="F93" s="4" t="s">
        <v>38</v>
      </c>
      <c r="G93" s="4">
        <f t="shared" si="2"/>
        <v>3.19</v>
      </c>
      <c r="H93" s="4">
        <v>0.0</v>
      </c>
      <c r="I93" s="4">
        <v>0.0</v>
      </c>
      <c r="J93" s="4">
        <f t="shared" si="3"/>
        <v>0</v>
      </c>
      <c r="K93" s="4">
        <v>0.0</v>
      </c>
      <c r="L93" s="4">
        <f t="shared" si="4"/>
        <v>0</v>
      </c>
      <c r="M93" s="4" t="s">
        <v>38</v>
      </c>
      <c r="N93" s="4">
        <f t="shared" si="5"/>
        <v>3.19</v>
      </c>
      <c r="O93" s="4">
        <v>0.0</v>
      </c>
      <c r="P93" s="4">
        <f t="shared" si="6"/>
        <v>0</v>
      </c>
      <c r="Q93" s="4">
        <v>0.0</v>
      </c>
      <c r="R93" s="4">
        <v>0.0</v>
      </c>
      <c r="S93" s="4">
        <v>230.0</v>
      </c>
      <c r="T93" s="4">
        <v>654.0</v>
      </c>
      <c r="U93" s="4">
        <v>1515.0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4">
        <v>2.026352035E9</v>
      </c>
      <c r="B94" s="4">
        <v>42678.0</v>
      </c>
      <c r="C94" s="4">
        <v>3279.0</v>
      </c>
      <c r="D94" s="4" t="s">
        <v>221</v>
      </c>
      <c r="E94" s="4">
        <f t="shared" si="1"/>
        <v>2.03</v>
      </c>
      <c r="F94" s="4" t="s">
        <v>221</v>
      </c>
      <c r="G94" s="4">
        <f t="shared" si="2"/>
        <v>2.03</v>
      </c>
      <c r="H94" s="4">
        <v>0.0</v>
      </c>
      <c r="I94" s="4">
        <v>0.0</v>
      </c>
      <c r="J94" s="4">
        <f t="shared" si="3"/>
        <v>0</v>
      </c>
      <c r="K94" s="4">
        <v>0.0</v>
      </c>
      <c r="L94" s="4">
        <f t="shared" si="4"/>
        <v>0</v>
      </c>
      <c r="M94" s="4" t="s">
        <v>221</v>
      </c>
      <c r="N94" s="4">
        <f t="shared" si="5"/>
        <v>2.03</v>
      </c>
      <c r="O94" s="4">
        <v>0.0</v>
      </c>
      <c r="P94" s="4">
        <f t="shared" si="6"/>
        <v>0</v>
      </c>
      <c r="Q94" s="4">
        <v>0.0</v>
      </c>
      <c r="R94" s="4">
        <v>0.0</v>
      </c>
      <c r="S94" s="4">
        <v>164.0</v>
      </c>
      <c r="T94" s="4">
        <v>694.0</v>
      </c>
      <c r="U94" s="4">
        <v>1405.0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4">
        <v>2.026352035E9</v>
      </c>
      <c r="B95" s="4">
        <v>42708.0</v>
      </c>
      <c r="C95" s="4">
        <v>1019.0</v>
      </c>
      <c r="D95" s="4" t="s">
        <v>182</v>
      </c>
      <c r="E95" s="4">
        <f t="shared" si="1"/>
        <v>0.63</v>
      </c>
      <c r="F95" s="4" t="s">
        <v>182</v>
      </c>
      <c r="G95" s="4">
        <f t="shared" si="2"/>
        <v>0.63</v>
      </c>
      <c r="H95" s="4">
        <v>0.0</v>
      </c>
      <c r="I95" s="4">
        <v>0.0</v>
      </c>
      <c r="J95" s="4">
        <f t="shared" si="3"/>
        <v>0</v>
      </c>
      <c r="K95" s="4">
        <v>0.0</v>
      </c>
      <c r="L95" s="4">
        <f t="shared" si="4"/>
        <v>0</v>
      </c>
      <c r="M95" s="4" t="s">
        <v>182</v>
      </c>
      <c r="N95" s="4">
        <f t="shared" si="5"/>
        <v>0.63</v>
      </c>
      <c r="O95" s="4">
        <v>0.0</v>
      </c>
      <c r="P95" s="4">
        <f t="shared" si="6"/>
        <v>0</v>
      </c>
      <c r="Q95" s="4">
        <v>0.0</v>
      </c>
      <c r="R95" s="4">
        <v>0.0</v>
      </c>
      <c r="S95" s="4">
        <v>64.0</v>
      </c>
      <c r="T95" s="4">
        <v>223.0</v>
      </c>
      <c r="U95" s="4">
        <v>600.0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4">
        <v>2.320127002E9</v>
      </c>
      <c r="B96" s="4">
        <v>42373.0</v>
      </c>
      <c r="C96" s="4">
        <v>0.0</v>
      </c>
      <c r="D96" s="4">
        <v>0.0</v>
      </c>
      <c r="E96" s="4">
        <f t="shared" si="1"/>
        <v>0</v>
      </c>
      <c r="F96" s="4">
        <v>0.0</v>
      </c>
      <c r="G96" s="4">
        <f t="shared" si="2"/>
        <v>0</v>
      </c>
      <c r="H96" s="4">
        <v>0.0</v>
      </c>
      <c r="I96" s="4">
        <v>0.0</v>
      </c>
      <c r="J96" s="4">
        <f t="shared" si="3"/>
        <v>0</v>
      </c>
      <c r="K96" s="4">
        <v>0.0</v>
      </c>
      <c r="L96" s="4">
        <f t="shared" si="4"/>
        <v>0</v>
      </c>
      <c r="M96" s="4">
        <v>0.0</v>
      </c>
      <c r="N96" s="4">
        <f t="shared" si="5"/>
        <v>0</v>
      </c>
      <c r="O96" s="4">
        <v>0.0</v>
      </c>
      <c r="P96" s="4">
        <f t="shared" si="6"/>
        <v>0</v>
      </c>
      <c r="Q96" s="4">
        <v>0.0</v>
      </c>
      <c r="R96" s="4">
        <v>0.0</v>
      </c>
      <c r="S96" s="4">
        <v>0.0</v>
      </c>
      <c r="T96" s="4">
        <v>1440.0</v>
      </c>
      <c r="U96" s="4">
        <v>1324.0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4">
        <v>2.320127002E9</v>
      </c>
      <c r="B97" s="4">
        <v>42404.0</v>
      </c>
      <c r="C97" s="4">
        <v>0.0</v>
      </c>
      <c r="D97" s="4">
        <v>0.0</v>
      </c>
      <c r="E97" s="4">
        <f t="shared" si="1"/>
        <v>0</v>
      </c>
      <c r="F97" s="4">
        <v>0.0</v>
      </c>
      <c r="G97" s="4">
        <f t="shared" si="2"/>
        <v>0</v>
      </c>
      <c r="H97" s="4">
        <v>0.0</v>
      </c>
      <c r="I97" s="4">
        <v>0.0</v>
      </c>
      <c r="J97" s="4">
        <f t="shared" si="3"/>
        <v>0</v>
      </c>
      <c r="K97" s="4">
        <v>0.0</v>
      </c>
      <c r="L97" s="4">
        <f t="shared" si="4"/>
        <v>0</v>
      </c>
      <c r="M97" s="4">
        <v>0.0</v>
      </c>
      <c r="N97" s="4">
        <f t="shared" si="5"/>
        <v>0</v>
      </c>
      <c r="O97" s="4">
        <v>0.0</v>
      </c>
      <c r="P97" s="4">
        <f t="shared" si="6"/>
        <v>0</v>
      </c>
      <c r="Q97" s="4">
        <v>0.0</v>
      </c>
      <c r="R97" s="4">
        <v>0.0</v>
      </c>
      <c r="S97" s="4">
        <v>0.0</v>
      </c>
      <c r="T97" s="4">
        <v>1440.0</v>
      </c>
      <c r="U97" s="4">
        <v>1324.0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4">
        <v>2.320127002E9</v>
      </c>
      <c r="B98" s="4">
        <v>42433.0</v>
      </c>
      <c r="C98" s="4">
        <v>0.0</v>
      </c>
      <c r="D98" s="4">
        <v>0.0</v>
      </c>
      <c r="E98" s="4">
        <f t="shared" si="1"/>
        <v>0</v>
      </c>
      <c r="F98" s="4">
        <v>0.0</v>
      </c>
      <c r="G98" s="4">
        <f t="shared" si="2"/>
        <v>0</v>
      </c>
      <c r="H98" s="4">
        <v>0.0</v>
      </c>
      <c r="I98" s="4">
        <v>0.0</v>
      </c>
      <c r="J98" s="4">
        <f t="shared" si="3"/>
        <v>0</v>
      </c>
      <c r="K98" s="4">
        <v>0.0</v>
      </c>
      <c r="L98" s="4">
        <f t="shared" si="4"/>
        <v>0</v>
      </c>
      <c r="M98" s="4">
        <v>0.0</v>
      </c>
      <c r="N98" s="4">
        <f t="shared" si="5"/>
        <v>0</v>
      </c>
      <c r="O98" s="4">
        <v>0.0</v>
      </c>
      <c r="P98" s="4">
        <f t="shared" si="6"/>
        <v>0</v>
      </c>
      <c r="Q98" s="4">
        <v>0.0</v>
      </c>
      <c r="R98" s="4">
        <v>0.0</v>
      </c>
      <c r="S98" s="4">
        <v>0.0</v>
      </c>
      <c r="T98" s="4">
        <v>1440.0</v>
      </c>
      <c r="U98" s="4">
        <v>1324.0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4">
        <v>2.320127002E9</v>
      </c>
      <c r="B99" s="4">
        <v>42464.0</v>
      </c>
      <c r="C99" s="4">
        <v>0.0</v>
      </c>
      <c r="D99" s="4">
        <v>0.0</v>
      </c>
      <c r="E99" s="4">
        <f t="shared" si="1"/>
        <v>0</v>
      </c>
      <c r="F99" s="4">
        <v>0.0</v>
      </c>
      <c r="G99" s="4">
        <f t="shared" si="2"/>
        <v>0</v>
      </c>
      <c r="H99" s="4">
        <v>0.0</v>
      </c>
      <c r="I99" s="4">
        <v>0.0</v>
      </c>
      <c r="J99" s="4">
        <f t="shared" si="3"/>
        <v>0</v>
      </c>
      <c r="K99" s="4">
        <v>0.0</v>
      </c>
      <c r="L99" s="4">
        <f t="shared" si="4"/>
        <v>0</v>
      </c>
      <c r="M99" s="4">
        <v>0.0</v>
      </c>
      <c r="N99" s="4">
        <f t="shared" si="5"/>
        <v>0</v>
      </c>
      <c r="O99" s="4">
        <v>0.0</v>
      </c>
      <c r="P99" s="4">
        <f t="shared" si="6"/>
        <v>0</v>
      </c>
      <c r="Q99" s="4">
        <v>0.0</v>
      </c>
      <c r="R99" s="4">
        <v>0.0</v>
      </c>
      <c r="S99" s="4">
        <v>0.0</v>
      </c>
      <c r="T99" s="4">
        <v>1440.0</v>
      </c>
      <c r="U99" s="4">
        <v>1324.0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4">
        <v>2.320127002E9</v>
      </c>
      <c r="B100" s="4">
        <v>42494.0</v>
      </c>
      <c r="C100" s="4">
        <v>4931.0</v>
      </c>
      <c r="D100" s="4" t="s">
        <v>60</v>
      </c>
      <c r="E100" s="4">
        <f t="shared" si="1"/>
        <v>3.32</v>
      </c>
      <c r="F100" s="4" t="s">
        <v>60</v>
      </c>
      <c r="G100" s="4">
        <f t="shared" si="2"/>
        <v>3.32</v>
      </c>
      <c r="H100" s="4">
        <v>0.0</v>
      </c>
      <c r="I100" s="4">
        <v>0.0</v>
      </c>
      <c r="J100" s="4">
        <f t="shared" si="3"/>
        <v>0</v>
      </c>
      <c r="K100" s="4">
        <v>0.0</v>
      </c>
      <c r="L100" s="4">
        <f t="shared" si="4"/>
        <v>0</v>
      </c>
      <c r="M100" s="4" t="s">
        <v>60</v>
      </c>
      <c r="N100" s="4">
        <f t="shared" si="5"/>
        <v>3.32</v>
      </c>
      <c r="O100" s="4">
        <v>0.0</v>
      </c>
      <c r="P100" s="4">
        <f t="shared" si="6"/>
        <v>0</v>
      </c>
      <c r="Q100" s="4">
        <v>0.0</v>
      </c>
      <c r="R100" s="4">
        <v>0.0</v>
      </c>
      <c r="S100" s="4">
        <v>175.0</v>
      </c>
      <c r="T100" s="4">
        <v>1265.0</v>
      </c>
      <c r="U100" s="4">
        <v>1708.0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4">
        <v>2.320127002E9</v>
      </c>
      <c r="B101" s="4">
        <v>42525.0</v>
      </c>
      <c r="C101" s="4">
        <v>6999.0</v>
      </c>
      <c r="D101" s="4" t="s">
        <v>210</v>
      </c>
      <c r="E101" s="4">
        <f t="shared" si="1"/>
        <v>4.72</v>
      </c>
      <c r="F101" s="4" t="s">
        <v>210</v>
      </c>
      <c r="G101" s="4">
        <f t="shared" si="2"/>
        <v>4.72</v>
      </c>
      <c r="H101" s="4">
        <v>0.0</v>
      </c>
      <c r="I101" s="4">
        <v>0.0</v>
      </c>
      <c r="J101" s="4">
        <f t="shared" si="3"/>
        <v>0</v>
      </c>
      <c r="K101" s="4">
        <v>0.0</v>
      </c>
      <c r="L101" s="4">
        <f t="shared" si="4"/>
        <v>0</v>
      </c>
      <c r="M101" s="4" t="s">
        <v>210</v>
      </c>
      <c r="N101" s="4">
        <f t="shared" si="5"/>
        <v>4.72</v>
      </c>
      <c r="O101" s="4">
        <v>0.0</v>
      </c>
      <c r="P101" s="4">
        <f t="shared" si="6"/>
        <v>0</v>
      </c>
      <c r="Q101" s="4">
        <v>0.0</v>
      </c>
      <c r="R101" s="4">
        <v>0.0</v>
      </c>
      <c r="S101" s="4">
        <v>320.0</v>
      </c>
      <c r="T101" s="4">
        <v>1120.0</v>
      </c>
      <c r="U101" s="4">
        <v>1950.0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4">
        <v>2.320127002E9</v>
      </c>
      <c r="B102" s="4">
        <v>42555.0</v>
      </c>
      <c r="C102" s="4">
        <v>1846.0</v>
      </c>
      <c r="D102" s="4" t="s">
        <v>106</v>
      </c>
      <c r="E102" s="4">
        <f t="shared" si="1"/>
        <v>1.24</v>
      </c>
      <c r="F102" s="4" t="s">
        <v>106</v>
      </c>
      <c r="G102" s="4">
        <f t="shared" si="2"/>
        <v>1.24</v>
      </c>
      <c r="H102" s="4">
        <v>0.0</v>
      </c>
      <c r="I102" s="4">
        <v>0.0</v>
      </c>
      <c r="J102" s="4">
        <f t="shared" si="3"/>
        <v>0</v>
      </c>
      <c r="K102" s="4">
        <v>0.0</v>
      </c>
      <c r="L102" s="4">
        <f t="shared" si="4"/>
        <v>0</v>
      </c>
      <c r="M102" s="4" t="s">
        <v>106</v>
      </c>
      <c r="N102" s="4">
        <f t="shared" si="5"/>
        <v>1.24</v>
      </c>
      <c r="O102" s="4">
        <v>0.0</v>
      </c>
      <c r="P102" s="4">
        <f t="shared" si="6"/>
        <v>0</v>
      </c>
      <c r="Q102" s="4">
        <v>0.0</v>
      </c>
      <c r="R102" s="4">
        <v>0.0</v>
      </c>
      <c r="S102" s="4">
        <v>93.0</v>
      </c>
      <c r="T102" s="4">
        <v>1347.0</v>
      </c>
      <c r="U102" s="4">
        <v>1508.0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4">
        <v>2.320127002E9</v>
      </c>
      <c r="B103" s="4">
        <v>42586.0</v>
      </c>
      <c r="C103" s="4">
        <v>3417.0</v>
      </c>
      <c r="D103" s="4" t="s">
        <v>222</v>
      </c>
      <c r="E103" s="4">
        <f t="shared" si="1"/>
        <v>2.3</v>
      </c>
      <c r="F103" s="4" t="s">
        <v>222</v>
      </c>
      <c r="G103" s="4">
        <f t="shared" si="2"/>
        <v>2.3</v>
      </c>
      <c r="H103" s="4">
        <v>0.0</v>
      </c>
      <c r="I103" s="4">
        <v>0.0</v>
      </c>
      <c r="J103" s="4">
        <f t="shared" si="3"/>
        <v>0</v>
      </c>
      <c r="K103" s="4">
        <v>0.0</v>
      </c>
      <c r="L103" s="4">
        <f t="shared" si="4"/>
        <v>0</v>
      </c>
      <c r="M103" s="4" t="s">
        <v>222</v>
      </c>
      <c r="N103" s="4">
        <f t="shared" si="5"/>
        <v>2.3</v>
      </c>
      <c r="O103" s="4">
        <v>0.0</v>
      </c>
      <c r="P103" s="4">
        <f t="shared" si="6"/>
        <v>0</v>
      </c>
      <c r="Q103" s="4">
        <v>0.0</v>
      </c>
      <c r="R103" s="4">
        <v>0.0</v>
      </c>
      <c r="S103" s="4">
        <v>153.0</v>
      </c>
      <c r="T103" s="4">
        <v>1287.0</v>
      </c>
      <c r="U103" s="4">
        <v>1625.0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4">
        <v>2.320127002E9</v>
      </c>
      <c r="B104" s="4">
        <v>42617.0</v>
      </c>
      <c r="C104" s="4">
        <v>4863.0</v>
      </c>
      <c r="D104" s="4" t="s">
        <v>223</v>
      </c>
      <c r="E104" s="4">
        <f t="shared" si="1"/>
        <v>3.28</v>
      </c>
      <c r="F104" s="4" t="s">
        <v>223</v>
      </c>
      <c r="G104" s="4">
        <f t="shared" si="2"/>
        <v>3.28</v>
      </c>
      <c r="H104" s="4">
        <v>0.0</v>
      </c>
      <c r="I104" s="4" t="s">
        <v>224</v>
      </c>
      <c r="J104" s="4">
        <f t="shared" si="3"/>
        <v>0.06</v>
      </c>
      <c r="K104" s="4" t="s">
        <v>225</v>
      </c>
      <c r="L104" s="4">
        <f t="shared" si="4"/>
        <v>0.42</v>
      </c>
      <c r="M104" s="4" t="s">
        <v>226</v>
      </c>
      <c r="N104" s="4">
        <f t="shared" si="5"/>
        <v>2.8</v>
      </c>
      <c r="O104" s="4">
        <v>0.0</v>
      </c>
      <c r="P104" s="4">
        <f t="shared" si="6"/>
        <v>0</v>
      </c>
      <c r="Q104" s="4">
        <v>1.0</v>
      </c>
      <c r="R104" s="4">
        <v>11.0</v>
      </c>
      <c r="S104" s="4">
        <v>208.0</v>
      </c>
      <c r="T104" s="4">
        <v>1220.0</v>
      </c>
      <c r="U104" s="4">
        <v>1772.0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4">
        <v>2.320127002E9</v>
      </c>
      <c r="B105" s="4">
        <v>42647.0</v>
      </c>
      <c r="C105" s="4">
        <v>2277.0</v>
      </c>
      <c r="D105" s="4" t="s">
        <v>227</v>
      </c>
      <c r="E105" s="4">
        <f t="shared" si="1"/>
        <v>1.53</v>
      </c>
      <c r="F105" s="4" t="s">
        <v>227</v>
      </c>
      <c r="G105" s="4">
        <f t="shared" si="2"/>
        <v>1.53</v>
      </c>
      <c r="H105" s="4">
        <v>0.0</v>
      </c>
      <c r="I105" s="4">
        <v>0.0</v>
      </c>
      <c r="J105" s="4">
        <f t="shared" si="3"/>
        <v>0</v>
      </c>
      <c r="K105" s="4">
        <v>0.0</v>
      </c>
      <c r="L105" s="4">
        <f t="shared" si="4"/>
        <v>0</v>
      </c>
      <c r="M105" s="4" t="s">
        <v>227</v>
      </c>
      <c r="N105" s="4">
        <f t="shared" si="5"/>
        <v>1.53</v>
      </c>
      <c r="O105" s="4">
        <v>0.0</v>
      </c>
      <c r="P105" s="4">
        <f t="shared" si="6"/>
        <v>0</v>
      </c>
      <c r="Q105" s="4">
        <v>0.0</v>
      </c>
      <c r="R105" s="4">
        <v>0.0</v>
      </c>
      <c r="S105" s="4">
        <v>103.0</v>
      </c>
      <c r="T105" s="4">
        <v>1337.0</v>
      </c>
      <c r="U105" s="4">
        <v>1530.0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4">
        <v>2.320127002E9</v>
      </c>
      <c r="B106" s="4">
        <v>42678.0</v>
      </c>
      <c r="C106" s="4">
        <v>11230.0</v>
      </c>
      <c r="D106" s="4" t="s">
        <v>79</v>
      </c>
      <c r="E106" s="4">
        <f t="shared" si="1"/>
        <v>7.67</v>
      </c>
      <c r="F106" s="4" t="s">
        <v>79</v>
      </c>
      <c r="G106" s="4">
        <f t="shared" si="2"/>
        <v>7.67</v>
      </c>
      <c r="H106" s="4">
        <v>0.0</v>
      </c>
      <c r="I106" s="4" t="s">
        <v>186</v>
      </c>
      <c r="J106" s="4">
        <f t="shared" si="3"/>
        <v>0.89</v>
      </c>
      <c r="K106" s="4" t="s">
        <v>228</v>
      </c>
      <c r="L106" s="4">
        <f t="shared" si="4"/>
        <v>0.12</v>
      </c>
      <c r="M106" s="4" t="s">
        <v>229</v>
      </c>
      <c r="N106" s="4">
        <f t="shared" si="5"/>
        <v>6.66</v>
      </c>
      <c r="O106" s="4">
        <v>0.0</v>
      </c>
      <c r="P106" s="4">
        <f t="shared" si="6"/>
        <v>0</v>
      </c>
      <c r="Q106" s="4">
        <v>10.0</v>
      </c>
      <c r="R106" s="4">
        <v>2.0</v>
      </c>
      <c r="S106" s="4">
        <v>390.0</v>
      </c>
      <c r="T106" s="4">
        <v>1038.0</v>
      </c>
      <c r="U106" s="4">
        <v>2206.0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4">
        <v>2.320127002E9</v>
      </c>
      <c r="B107" s="4">
        <v>42708.0</v>
      </c>
      <c r="C107" s="4">
        <v>2098.0</v>
      </c>
      <c r="D107" s="4" t="s">
        <v>230</v>
      </c>
      <c r="E107" s="4">
        <f t="shared" si="1"/>
        <v>1.41</v>
      </c>
      <c r="F107" s="4" t="s">
        <v>230</v>
      </c>
      <c r="G107" s="4">
        <f t="shared" si="2"/>
        <v>1.41</v>
      </c>
      <c r="H107" s="4">
        <v>0.0</v>
      </c>
      <c r="I107" s="4">
        <v>0.0</v>
      </c>
      <c r="J107" s="4">
        <f t="shared" si="3"/>
        <v>0</v>
      </c>
      <c r="K107" s="4">
        <v>0.0</v>
      </c>
      <c r="L107" s="4">
        <f t="shared" si="4"/>
        <v>0</v>
      </c>
      <c r="M107" s="4" t="s">
        <v>230</v>
      </c>
      <c r="N107" s="4">
        <f t="shared" si="5"/>
        <v>1.41</v>
      </c>
      <c r="O107" s="4">
        <v>0.0</v>
      </c>
      <c r="P107" s="4">
        <f t="shared" si="6"/>
        <v>0</v>
      </c>
      <c r="Q107" s="4">
        <v>0.0</v>
      </c>
      <c r="R107" s="4">
        <v>0.0</v>
      </c>
      <c r="S107" s="4">
        <v>69.0</v>
      </c>
      <c r="T107" s="4">
        <v>617.0</v>
      </c>
      <c r="U107" s="4">
        <v>790.0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4">
        <v>2.347167796E9</v>
      </c>
      <c r="B108" s="4" t="s">
        <v>42</v>
      </c>
      <c r="C108" s="4">
        <v>10272.0</v>
      </c>
      <c r="D108" s="4" t="s">
        <v>231</v>
      </c>
      <c r="E108" s="4">
        <f t="shared" si="1"/>
        <v>6.79</v>
      </c>
      <c r="F108" s="4" t="s">
        <v>231</v>
      </c>
      <c r="G108" s="4">
        <f t="shared" si="2"/>
        <v>6.79</v>
      </c>
      <c r="H108" s="4">
        <v>0.0</v>
      </c>
      <c r="I108" s="4" t="s">
        <v>34</v>
      </c>
      <c r="J108" s="4">
        <f t="shared" si="3"/>
        <v>0.16</v>
      </c>
      <c r="K108" s="4" t="s">
        <v>232</v>
      </c>
      <c r="L108" s="4">
        <f t="shared" si="4"/>
        <v>3.12</v>
      </c>
      <c r="M108" s="4">
        <v>45780.0</v>
      </c>
      <c r="N108" s="4">
        <f t="shared" si="5"/>
        <v>45780</v>
      </c>
      <c r="O108" s="4">
        <v>0.0</v>
      </c>
      <c r="P108" s="4">
        <f t="shared" si="6"/>
        <v>0</v>
      </c>
      <c r="Q108" s="4">
        <v>2.0</v>
      </c>
      <c r="R108" s="4">
        <v>58.0</v>
      </c>
      <c r="S108" s="4">
        <v>208.0</v>
      </c>
      <c r="T108" s="4">
        <v>700.0</v>
      </c>
      <c r="U108" s="4">
        <v>2041.0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4">
        <v>2.347167796E9</v>
      </c>
      <c r="B109" s="4" t="s">
        <v>48</v>
      </c>
      <c r="C109" s="4">
        <v>10533.0</v>
      </c>
      <c r="D109" s="4" t="s">
        <v>233</v>
      </c>
      <c r="E109" s="4">
        <f t="shared" si="1"/>
        <v>7.1</v>
      </c>
      <c r="F109" s="4" t="s">
        <v>233</v>
      </c>
      <c r="G109" s="4">
        <f t="shared" si="2"/>
        <v>7.1</v>
      </c>
      <c r="H109" s="4">
        <v>0.0</v>
      </c>
      <c r="I109" s="4" t="s">
        <v>234</v>
      </c>
      <c r="J109" s="4">
        <f t="shared" si="3"/>
        <v>1.77</v>
      </c>
      <c r="K109" s="4" t="s">
        <v>235</v>
      </c>
      <c r="L109" s="4">
        <f t="shared" si="4"/>
        <v>2.06</v>
      </c>
      <c r="M109" s="4" t="s">
        <v>236</v>
      </c>
      <c r="N109" s="4">
        <f t="shared" si="5"/>
        <v>3.27</v>
      </c>
      <c r="O109" s="4">
        <v>0.0</v>
      </c>
      <c r="P109" s="4">
        <f t="shared" si="6"/>
        <v>0</v>
      </c>
      <c r="Q109" s="4">
        <v>21.0</v>
      </c>
      <c r="R109" s="4">
        <v>35.0</v>
      </c>
      <c r="S109" s="4">
        <v>255.0</v>
      </c>
      <c r="T109" s="4">
        <v>615.0</v>
      </c>
      <c r="U109" s="4">
        <v>2187.0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4">
        <v>2.347167796E9</v>
      </c>
      <c r="B110" s="4" t="s">
        <v>54</v>
      </c>
      <c r="C110" s="4">
        <v>6760.0</v>
      </c>
      <c r="D110" s="4" t="s">
        <v>237</v>
      </c>
      <c r="E110" s="4">
        <f t="shared" si="1"/>
        <v>4.47</v>
      </c>
      <c r="F110" s="4" t="s">
        <v>237</v>
      </c>
      <c r="G110" s="4">
        <f t="shared" si="2"/>
        <v>4.47</v>
      </c>
      <c r="H110" s="4">
        <v>0.0</v>
      </c>
      <c r="I110" s="4">
        <v>0.0</v>
      </c>
      <c r="J110" s="4">
        <f t="shared" si="3"/>
        <v>0</v>
      </c>
      <c r="K110" s="4">
        <v>0.0</v>
      </c>
      <c r="L110" s="4">
        <f t="shared" si="4"/>
        <v>0</v>
      </c>
      <c r="M110" s="4" t="s">
        <v>237</v>
      </c>
      <c r="N110" s="4">
        <f t="shared" si="5"/>
        <v>4.47</v>
      </c>
      <c r="O110" s="4">
        <v>0.0</v>
      </c>
      <c r="P110" s="4">
        <f t="shared" si="6"/>
        <v>0</v>
      </c>
      <c r="Q110" s="4">
        <v>0.0</v>
      </c>
      <c r="R110" s="4">
        <v>0.0</v>
      </c>
      <c r="S110" s="4">
        <v>250.0</v>
      </c>
      <c r="T110" s="4">
        <v>613.0</v>
      </c>
      <c r="U110" s="4">
        <v>1929.0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4">
        <v>2.347167796E9</v>
      </c>
      <c r="B111" s="4">
        <v>42373.0</v>
      </c>
      <c r="C111" s="4">
        <v>8328.0</v>
      </c>
      <c r="D111" s="4" t="s">
        <v>238</v>
      </c>
      <c r="E111" s="4">
        <f t="shared" si="1"/>
        <v>5.51</v>
      </c>
      <c r="F111" s="4" t="s">
        <v>238</v>
      </c>
      <c r="G111" s="4">
        <f t="shared" si="2"/>
        <v>5.51</v>
      </c>
      <c r="H111" s="4">
        <v>0.0</v>
      </c>
      <c r="I111" s="4">
        <v>0.0</v>
      </c>
      <c r="J111" s="4">
        <f t="shared" si="3"/>
        <v>0</v>
      </c>
      <c r="K111" s="4">
        <v>2.0</v>
      </c>
      <c r="L111" s="4">
        <f t="shared" si="4"/>
        <v>2</v>
      </c>
      <c r="M111" s="4">
        <v>45780.0</v>
      </c>
      <c r="N111" s="4">
        <f t="shared" si="5"/>
        <v>45780</v>
      </c>
      <c r="O111" s="4">
        <v>0.0</v>
      </c>
      <c r="P111" s="4">
        <f t="shared" si="6"/>
        <v>0</v>
      </c>
      <c r="Q111" s="4">
        <v>0.0</v>
      </c>
      <c r="R111" s="4">
        <v>33.0</v>
      </c>
      <c r="S111" s="4">
        <v>212.0</v>
      </c>
      <c r="T111" s="4">
        <v>804.0</v>
      </c>
      <c r="U111" s="4">
        <v>1935.0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4">
        <v>2.347167796E9</v>
      </c>
      <c r="B112" s="4">
        <v>42404.0</v>
      </c>
      <c r="C112" s="4">
        <v>15459.0</v>
      </c>
      <c r="D112" s="4" t="s">
        <v>239</v>
      </c>
      <c r="E112" s="4">
        <f t="shared" si="1"/>
        <v>10.22</v>
      </c>
      <c r="F112" s="4" t="s">
        <v>239</v>
      </c>
      <c r="G112" s="4">
        <f t="shared" si="2"/>
        <v>10.22</v>
      </c>
      <c r="H112" s="4">
        <v>0.0</v>
      </c>
      <c r="I112" s="4" t="s">
        <v>167</v>
      </c>
      <c r="J112" s="4">
        <f t="shared" si="3"/>
        <v>3.59</v>
      </c>
      <c r="K112" s="4" t="s">
        <v>240</v>
      </c>
      <c r="L112" s="4">
        <f t="shared" si="4"/>
        <v>0.81</v>
      </c>
      <c r="M112" s="4" t="s">
        <v>241</v>
      </c>
      <c r="N112" s="4">
        <f t="shared" si="5"/>
        <v>5.82</v>
      </c>
      <c r="O112" s="4">
        <v>0.0</v>
      </c>
      <c r="P112" s="4">
        <f t="shared" si="6"/>
        <v>0</v>
      </c>
      <c r="Q112" s="4">
        <v>51.0</v>
      </c>
      <c r="R112" s="4">
        <v>16.0</v>
      </c>
      <c r="S112" s="4">
        <v>327.0</v>
      </c>
      <c r="T112" s="4">
        <v>583.0</v>
      </c>
      <c r="U112" s="4">
        <v>2438.0</v>
      </c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4">
        <v>2.347167796E9</v>
      </c>
      <c r="B113" s="4">
        <v>42433.0</v>
      </c>
      <c r="C113" s="4">
        <v>7485.0</v>
      </c>
      <c r="D113" s="4" t="s">
        <v>40</v>
      </c>
      <c r="E113" s="4">
        <f t="shared" si="1"/>
        <v>4.95</v>
      </c>
      <c r="F113" s="4" t="s">
        <v>40</v>
      </c>
      <c r="G113" s="4">
        <f t="shared" si="2"/>
        <v>4.95</v>
      </c>
      <c r="H113" s="4">
        <v>0.0</v>
      </c>
      <c r="I113" s="4">
        <v>0.0</v>
      </c>
      <c r="J113" s="4">
        <f t="shared" si="3"/>
        <v>0</v>
      </c>
      <c r="K113" s="4">
        <v>0.0</v>
      </c>
      <c r="L113" s="4">
        <f t="shared" si="4"/>
        <v>0</v>
      </c>
      <c r="M113" s="4" t="s">
        <v>40</v>
      </c>
      <c r="N113" s="4">
        <f t="shared" si="5"/>
        <v>4.95</v>
      </c>
      <c r="O113" s="4">
        <v>0.0</v>
      </c>
      <c r="P113" s="4">
        <f t="shared" si="6"/>
        <v>0</v>
      </c>
      <c r="Q113" s="4">
        <v>0.0</v>
      </c>
      <c r="R113" s="4">
        <v>0.0</v>
      </c>
      <c r="S113" s="4">
        <v>324.0</v>
      </c>
      <c r="T113" s="4">
        <v>491.0</v>
      </c>
      <c r="U113" s="4">
        <v>2035.0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4">
        <v>2.347167796E9</v>
      </c>
      <c r="B114" s="4">
        <v>42464.0</v>
      </c>
      <c r="C114" s="4">
        <v>10254.0</v>
      </c>
      <c r="D114" s="4" t="s">
        <v>242</v>
      </c>
      <c r="E114" s="4">
        <f t="shared" si="1"/>
        <v>6.8</v>
      </c>
      <c r="F114" s="4" t="s">
        <v>242</v>
      </c>
      <c r="G114" s="4">
        <f t="shared" si="2"/>
        <v>6.8</v>
      </c>
      <c r="H114" s="4">
        <v>0.0</v>
      </c>
      <c r="I114" s="4" t="s">
        <v>243</v>
      </c>
      <c r="J114" s="4">
        <f t="shared" si="3"/>
        <v>1.42</v>
      </c>
      <c r="K114" s="4" t="s">
        <v>244</v>
      </c>
      <c r="L114" s="4">
        <f t="shared" si="4"/>
        <v>1.23</v>
      </c>
      <c r="M114" s="4" t="s">
        <v>245</v>
      </c>
      <c r="N114" s="4">
        <f t="shared" si="5"/>
        <v>4.16</v>
      </c>
      <c r="O114" s="4">
        <v>0.0</v>
      </c>
      <c r="P114" s="4">
        <f t="shared" si="6"/>
        <v>0</v>
      </c>
      <c r="Q114" s="4">
        <v>21.0</v>
      </c>
      <c r="R114" s="4">
        <v>25.0</v>
      </c>
      <c r="S114" s="4">
        <v>231.0</v>
      </c>
      <c r="T114" s="4">
        <v>638.0</v>
      </c>
      <c r="U114" s="4">
        <v>2099.0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4">
        <v>2.347167796E9</v>
      </c>
      <c r="B115" s="4">
        <v>42494.0</v>
      </c>
      <c r="C115" s="4">
        <v>10114.0</v>
      </c>
      <c r="D115" s="4" t="s">
        <v>246</v>
      </c>
      <c r="E115" s="4">
        <f t="shared" si="1"/>
        <v>6.82</v>
      </c>
      <c r="F115" s="4" t="s">
        <v>246</v>
      </c>
      <c r="G115" s="4">
        <f t="shared" si="2"/>
        <v>6.82</v>
      </c>
      <c r="H115" s="4">
        <v>0.0</v>
      </c>
      <c r="I115" s="4" t="s">
        <v>247</v>
      </c>
      <c r="J115" s="4">
        <f t="shared" si="3"/>
        <v>1.64</v>
      </c>
      <c r="K115" s="4" t="s">
        <v>81</v>
      </c>
      <c r="L115" s="4">
        <f t="shared" si="4"/>
        <v>0.48</v>
      </c>
      <c r="M115" s="4" t="s">
        <v>248</v>
      </c>
      <c r="N115" s="4">
        <f t="shared" si="5"/>
        <v>4.68</v>
      </c>
      <c r="O115" s="4">
        <v>0.0</v>
      </c>
      <c r="P115" s="4">
        <f t="shared" si="6"/>
        <v>0</v>
      </c>
      <c r="Q115" s="4">
        <v>18.0</v>
      </c>
      <c r="R115" s="4">
        <v>9.0</v>
      </c>
      <c r="S115" s="4">
        <v>269.0</v>
      </c>
      <c r="T115" s="4">
        <v>696.0</v>
      </c>
      <c r="U115" s="4">
        <v>2096.0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4">
        <v>2.347167796E9</v>
      </c>
      <c r="B116" s="4">
        <v>42525.0</v>
      </c>
      <c r="C116" s="4">
        <v>11107.0</v>
      </c>
      <c r="D116" s="4" t="s">
        <v>249</v>
      </c>
      <c r="E116" s="4">
        <f t="shared" si="1"/>
        <v>7.34</v>
      </c>
      <c r="F116" s="4" t="s">
        <v>249</v>
      </c>
      <c r="G116" s="4">
        <f t="shared" si="2"/>
        <v>7.34</v>
      </c>
      <c r="H116" s="4">
        <v>0.0</v>
      </c>
      <c r="I116" s="4" t="s">
        <v>88</v>
      </c>
      <c r="J116" s="4">
        <f t="shared" si="3"/>
        <v>0.9</v>
      </c>
      <c r="K116" s="4" t="s">
        <v>250</v>
      </c>
      <c r="L116" s="4">
        <f t="shared" si="4"/>
        <v>2.76</v>
      </c>
      <c r="M116" s="4" t="s">
        <v>251</v>
      </c>
      <c r="N116" s="4">
        <f t="shared" si="5"/>
        <v>3.68</v>
      </c>
      <c r="O116" s="4">
        <v>0.0</v>
      </c>
      <c r="P116" s="4">
        <f t="shared" si="6"/>
        <v>0</v>
      </c>
      <c r="Q116" s="4">
        <v>14.0</v>
      </c>
      <c r="R116" s="4">
        <v>46.0</v>
      </c>
      <c r="S116" s="4">
        <v>196.0</v>
      </c>
      <c r="T116" s="4">
        <v>759.0</v>
      </c>
      <c r="U116" s="4">
        <v>2058.0</v>
      </c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4">
        <v>2.347167796E9</v>
      </c>
      <c r="B117" s="4">
        <v>42555.0</v>
      </c>
      <c r="C117" s="4">
        <v>10320.0</v>
      </c>
      <c r="D117" s="4" t="s">
        <v>252</v>
      </c>
      <c r="E117" s="4">
        <f t="shared" si="1"/>
        <v>6.85</v>
      </c>
      <c r="F117" s="4" t="s">
        <v>252</v>
      </c>
      <c r="G117" s="4">
        <f t="shared" si="2"/>
        <v>6.85</v>
      </c>
      <c r="H117" s="4">
        <v>0.0</v>
      </c>
      <c r="I117" s="4" t="s">
        <v>253</v>
      </c>
      <c r="J117" s="4">
        <f t="shared" si="3"/>
        <v>0.68</v>
      </c>
      <c r="K117" s="4" t="s">
        <v>244</v>
      </c>
      <c r="L117" s="4">
        <f t="shared" si="4"/>
        <v>1.23</v>
      </c>
      <c r="M117" s="4" t="s">
        <v>254</v>
      </c>
      <c r="N117" s="4">
        <f t="shared" si="5"/>
        <v>4.94</v>
      </c>
      <c r="O117" s="4">
        <v>0.0</v>
      </c>
      <c r="P117" s="4">
        <f t="shared" si="6"/>
        <v>0</v>
      </c>
      <c r="Q117" s="4">
        <v>15.0</v>
      </c>
      <c r="R117" s="4">
        <v>32.0</v>
      </c>
      <c r="S117" s="4">
        <v>315.0</v>
      </c>
      <c r="T117" s="4">
        <v>1002.0</v>
      </c>
      <c r="U117" s="4">
        <v>2338.0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4">
        <v>2.347167796E9</v>
      </c>
      <c r="B118" s="4">
        <v>42586.0</v>
      </c>
      <c r="C118" s="4">
        <v>10209.0</v>
      </c>
      <c r="D118" s="4" t="s">
        <v>255</v>
      </c>
      <c r="E118" s="4">
        <f t="shared" si="1"/>
        <v>6.75</v>
      </c>
      <c r="F118" s="4" t="s">
        <v>255</v>
      </c>
      <c r="G118" s="4">
        <f t="shared" si="2"/>
        <v>6.75</v>
      </c>
      <c r="H118" s="4">
        <v>0.0</v>
      </c>
      <c r="I118" s="4" t="s">
        <v>34</v>
      </c>
      <c r="J118" s="4">
        <f t="shared" si="3"/>
        <v>0.16</v>
      </c>
      <c r="K118" s="4" t="s">
        <v>256</v>
      </c>
      <c r="L118" s="4">
        <f t="shared" si="4"/>
        <v>0.35</v>
      </c>
      <c r="M118" s="4" t="s">
        <v>257</v>
      </c>
      <c r="N118" s="4">
        <f t="shared" si="5"/>
        <v>6.23</v>
      </c>
      <c r="O118" s="4">
        <v>0.0</v>
      </c>
      <c r="P118" s="4">
        <f t="shared" si="6"/>
        <v>0</v>
      </c>
      <c r="Q118" s="4">
        <v>2.0</v>
      </c>
      <c r="R118" s="4">
        <v>6.0</v>
      </c>
      <c r="S118" s="4">
        <v>316.0</v>
      </c>
      <c r="T118" s="4">
        <v>711.0</v>
      </c>
      <c r="U118" s="4">
        <v>2104.0</v>
      </c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4">
        <v>2.347167796E9</v>
      </c>
      <c r="B119" s="4">
        <v>42617.0</v>
      </c>
      <c r="C119" s="4">
        <v>16081.0</v>
      </c>
      <c r="D119" s="4" t="s">
        <v>258</v>
      </c>
      <c r="E119" s="4">
        <f t="shared" si="1"/>
        <v>10.63</v>
      </c>
      <c r="F119" s="4" t="s">
        <v>258</v>
      </c>
      <c r="G119" s="4">
        <f t="shared" si="2"/>
        <v>10.63</v>
      </c>
      <c r="H119" s="4">
        <v>0.0</v>
      </c>
      <c r="I119" s="4" t="s">
        <v>259</v>
      </c>
      <c r="J119" s="4">
        <f t="shared" si="3"/>
        <v>1.25</v>
      </c>
      <c r="K119" s="4" t="s">
        <v>260</v>
      </c>
      <c r="L119" s="4">
        <f t="shared" si="4"/>
        <v>1.82</v>
      </c>
      <c r="M119" s="4" t="s">
        <v>261</v>
      </c>
      <c r="N119" s="4">
        <f t="shared" si="5"/>
        <v>7.56</v>
      </c>
      <c r="O119" s="4">
        <v>0.0</v>
      </c>
      <c r="P119" s="4">
        <f t="shared" si="6"/>
        <v>0</v>
      </c>
      <c r="Q119" s="4">
        <v>16.0</v>
      </c>
      <c r="R119" s="4">
        <v>32.0</v>
      </c>
      <c r="S119" s="4">
        <v>401.0</v>
      </c>
      <c r="T119" s="4">
        <v>970.0</v>
      </c>
      <c r="U119" s="4">
        <v>2488.0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4">
        <v>2.347167796E9</v>
      </c>
      <c r="B120" s="4">
        <v>42647.0</v>
      </c>
      <c r="C120" s="4">
        <v>10078.0</v>
      </c>
      <c r="D120" s="4" t="s">
        <v>262</v>
      </c>
      <c r="E120" s="4">
        <f t="shared" si="1"/>
        <v>6.83</v>
      </c>
      <c r="F120" s="4" t="s">
        <v>262</v>
      </c>
      <c r="G120" s="4">
        <f t="shared" si="2"/>
        <v>6.83</v>
      </c>
      <c r="H120" s="4">
        <v>0.0</v>
      </c>
      <c r="I120" s="4" t="s">
        <v>263</v>
      </c>
      <c r="J120" s="4">
        <f t="shared" si="3"/>
        <v>1.02</v>
      </c>
      <c r="K120" s="4" t="s">
        <v>228</v>
      </c>
      <c r="L120" s="4">
        <f t="shared" si="4"/>
        <v>0.12</v>
      </c>
      <c r="M120" s="4" t="s">
        <v>74</v>
      </c>
      <c r="N120" s="4">
        <f t="shared" si="5"/>
        <v>5.69</v>
      </c>
      <c r="O120" s="4">
        <v>0.0</v>
      </c>
      <c r="P120" s="4">
        <f t="shared" si="6"/>
        <v>0</v>
      </c>
      <c r="Q120" s="4">
        <v>12.0</v>
      </c>
      <c r="R120" s="4">
        <v>3.0</v>
      </c>
      <c r="S120" s="4">
        <v>303.0</v>
      </c>
      <c r="T120" s="4">
        <v>463.0</v>
      </c>
      <c r="U120" s="4">
        <v>2164.0</v>
      </c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4">
        <v>2.347167796E9</v>
      </c>
      <c r="B121" s="4">
        <v>42678.0</v>
      </c>
      <c r="C121" s="4">
        <v>10001.0</v>
      </c>
      <c r="D121" s="4" t="s">
        <v>264</v>
      </c>
      <c r="E121" s="4">
        <f t="shared" si="1"/>
        <v>6.61</v>
      </c>
      <c r="F121" s="4" t="s">
        <v>264</v>
      </c>
      <c r="G121" s="4">
        <f t="shared" si="2"/>
        <v>6.61</v>
      </c>
      <c r="H121" s="4">
        <v>0.0</v>
      </c>
      <c r="I121" s="4" t="s">
        <v>265</v>
      </c>
      <c r="J121" s="4">
        <f t="shared" si="3"/>
        <v>0.33</v>
      </c>
      <c r="K121" s="4" t="s">
        <v>108</v>
      </c>
      <c r="L121" s="4">
        <f t="shared" si="4"/>
        <v>2.93</v>
      </c>
      <c r="M121" s="4" t="s">
        <v>266</v>
      </c>
      <c r="N121" s="4">
        <f t="shared" si="5"/>
        <v>3.36</v>
      </c>
      <c r="O121" s="4">
        <v>0.0</v>
      </c>
      <c r="P121" s="4">
        <f t="shared" si="6"/>
        <v>0</v>
      </c>
      <c r="Q121" s="4">
        <v>5.0</v>
      </c>
      <c r="R121" s="4">
        <v>52.0</v>
      </c>
      <c r="S121" s="4">
        <v>196.0</v>
      </c>
      <c r="T121" s="4">
        <v>788.0</v>
      </c>
      <c r="U121" s="4">
        <v>2009.0</v>
      </c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4">
        <v>2.347167796E9</v>
      </c>
      <c r="B122" s="4">
        <v>42708.0</v>
      </c>
      <c r="C122" s="4">
        <v>0.0</v>
      </c>
      <c r="D122" s="4">
        <v>0.0</v>
      </c>
      <c r="E122" s="4">
        <f t="shared" si="1"/>
        <v>0</v>
      </c>
      <c r="F122" s="4">
        <v>0.0</v>
      </c>
      <c r="G122" s="4">
        <f t="shared" si="2"/>
        <v>0</v>
      </c>
      <c r="H122" s="4">
        <v>0.0</v>
      </c>
      <c r="I122" s="4">
        <v>0.0</v>
      </c>
      <c r="J122" s="4">
        <f t="shared" si="3"/>
        <v>0</v>
      </c>
      <c r="K122" s="4">
        <v>0.0</v>
      </c>
      <c r="L122" s="4">
        <f t="shared" si="4"/>
        <v>0</v>
      </c>
      <c r="M122" s="4">
        <v>0.0</v>
      </c>
      <c r="N122" s="4">
        <f t="shared" si="5"/>
        <v>0</v>
      </c>
      <c r="O122" s="4">
        <v>0.0</v>
      </c>
      <c r="P122" s="4">
        <f t="shared" si="6"/>
        <v>0</v>
      </c>
      <c r="Q122" s="4">
        <v>0.0</v>
      </c>
      <c r="R122" s="4">
        <v>0.0</v>
      </c>
      <c r="S122" s="4">
        <v>0.0</v>
      </c>
      <c r="T122" s="4">
        <v>425.0</v>
      </c>
      <c r="U122" s="4">
        <v>399.0</v>
      </c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4">
        <v>2.873212765E9</v>
      </c>
      <c r="B123" s="4">
        <v>42373.0</v>
      </c>
      <c r="C123" s="4">
        <v>890.0</v>
      </c>
      <c r="D123" s="4" t="s">
        <v>267</v>
      </c>
      <c r="E123" s="4">
        <f t="shared" si="1"/>
        <v>0.6</v>
      </c>
      <c r="F123" s="4" t="s">
        <v>267</v>
      </c>
      <c r="G123" s="4">
        <f t="shared" si="2"/>
        <v>0.6</v>
      </c>
      <c r="H123" s="4">
        <v>0.0</v>
      </c>
      <c r="I123" s="4">
        <v>0.0</v>
      </c>
      <c r="J123" s="4">
        <f t="shared" si="3"/>
        <v>0</v>
      </c>
      <c r="K123" s="4">
        <v>0.0</v>
      </c>
      <c r="L123" s="4">
        <f t="shared" si="4"/>
        <v>0</v>
      </c>
      <c r="M123" s="4" t="s">
        <v>267</v>
      </c>
      <c r="N123" s="4">
        <f t="shared" si="5"/>
        <v>0.6</v>
      </c>
      <c r="O123" s="4">
        <v>0.0</v>
      </c>
      <c r="P123" s="4">
        <f t="shared" si="6"/>
        <v>0</v>
      </c>
      <c r="Q123" s="4">
        <v>0.0</v>
      </c>
      <c r="R123" s="4">
        <v>0.0</v>
      </c>
      <c r="S123" s="4">
        <v>41.0</v>
      </c>
      <c r="T123" s="4">
        <v>1399.0</v>
      </c>
      <c r="U123" s="4">
        <v>1335.0</v>
      </c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4">
        <v>2.873212765E9</v>
      </c>
      <c r="B124" s="4">
        <v>42404.0</v>
      </c>
      <c r="C124" s="4">
        <v>2214.0</v>
      </c>
      <c r="D124" s="4" t="s">
        <v>268</v>
      </c>
      <c r="E124" s="4">
        <f t="shared" si="1"/>
        <v>1.49</v>
      </c>
      <c r="F124" s="4" t="s">
        <v>268</v>
      </c>
      <c r="G124" s="4">
        <f t="shared" si="2"/>
        <v>1.49</v>
      </c>
      <c r="H124" s="4">
        <v>0.0</v>
      </c>
      <c r="I124" s="4">
        <v>0.0</v>
      </c>
      <c r="J124" s="4">
        <f t="shared" si="3"/>
        <v>0</v>
      </c>
      <c r="K124" s="4">
        <v>0.0</v>
      </c>
      <c r="L124" s="4">
        <f t="shared" si="4"/>
        <v>0</v>
      </c>
      <c r="M124" s="4" t="s">
        <v>268</v>
      </c>
      <c r="N124" s="4">
        <f t="shared" si="5"/>
        <v>1.49</v>
      </c>
      <c r="O124" s="4">
        <v>0.0</v>
      </c>
      <c r="P124" s="4">
        <f t="shared" si="6"/>
        <v>0</v>
      </c>
      <c r="Q124" s="4">
        <v>0.0</v>
      </c>
      <c r="R124" s="4">
        <v>0.0</v>
      </c>
      <c r="S124" s="4">
        <v>197.0</v>
      </c>
      <c r="T124" s="4">
        <v>1243.0</v>
      </c>
      <c r="U124" s="4">
        <v>1559.0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4">
        <v>2.873212765E9</v>
      </c>
      <c r="B125" s="4">
        <v>42433.0</v>
      </c>
      <c r="C125" s="4">
        <v>7640.0</v>
      </c>
      <c r="D125" s="4" t="s">
        <v>269</v>
      </c>
      <c r="E125" s="4">
        <f t="shared" si="1"/>
        <v>5.13</v>
      </c>
      <c r="F125" s="4" t="s">
        <v>269</v>
      </c>
      <c r="G125" s="4">
        <f t="shared" si="2"/>
        <v>5.13</v>
      </c>
      <c r="H125" s="4">
        <v>0.0</v>
      </c>
      <c r="I125" s="4" t="s">
        <v>270</v>
      </c>
      <c r="J125" s="4">
        <f t="shared" si="3"/>
        <v>0.19</v>
      </c>
      <c r="K125" s="4" t="s">
        <v>271</v>
      </c>
      <c r="L125" s="4">
        <f t="shared" si="4"/>
        <v>0.8</v>
      </c>
      <c r="M125" s="4" t="s">
        <v>272</v>
      </c>
      <c r="N125" s="4">
        <f t="shared" si="5"/>
        <v>4.15</v>
      </c>
      <c r="O125" s="4">
        <v>0.0</v>
      </c>
      <c r="P125" s="4">
        <f t="shared" si="6"/>
        <v>0</v>
      </c>
      <c r="Q125" s="4">
        <v>3.0</v>
      </c>
      <c r="R125" s="4">
        <v>15.0</v>
      </c>
      <c r="S125" s="4">
        <v>315.0</v>
      </c>
      <c r="T125" s="4">
        <v>1107.0</v>
      </c>
      <c r="U125" s="4">
        <v>1845.0</v>
      </c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4">
        <v>2.873212765E9</v>
      </c>
      <c r="B126" s="4">
        <v>42464.0</v>
      </c>
      <c r="C126" s="4">
        <v>9713.0</v>
      </c>
      <c r="D126" s="4" t="s">
        <v>273</v>
      </c>
      <c r="E126" s="4">
        <f t="shared" si="1"/>
        <v>6.53</v>
      </c>
      <c r="F126" s="4" t="s">
        <v>273</v>
      </c>
      <c r="G126" s="4">
        <f t="shared" si="2"/>
        <v>6.53</v>
      </c>
      <c r="H126" s="4">
        <v>0.0</v>
      </c>
      <c r="I126" s="4" t="s">
        <v>142</v>
      </c>
      <c r="J126" s="4">
        <f t="shared" si="3"/>
        <v>0.34</v>
      </c>
      <c r="K126" s="4" t="s">
        <v>186</v>
      </c>
      <c r="L126" s="4">
        <f t="shared" si="4"/>
        <v>0.89</v>
      </c>
      <c r="M126" s="4" t="s">
        <v>274</v>
      </c>
      <c r="N126" s="4">
        <f t="shared" si="5"/>
        <v>5.29</v>
      </c>
      <c r="O126" s="4">
        <v>0.0</v>
      </c>
      <c r="P126" s="4">
        <f t="shared" si="6"/>
        <v>0</v>
      </c>
      <c r="Q126" s="4">
        <v>6.0</v>
      </c>
      <c r="R126" s="4">
        <v>24.0</v>
      </c>
      <c r="S126" s="4">
        <v>355.0</v>
      </c>
      <c r="T126" s="4">
        <v>1055.0</v>
      </c>
      <c r="U126" s="4">
        <v>2046.0</v>
      </c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4">
        <v>2.873212765E9</v>
      </c>
      <c r="B127" s="4">
        <v>42494.0</v>
      </c>
      <c r="C127" s="4">
        <v>8432.0</v>
      </c>
      <c r="D127" s="4" t="s">
        <v>275</v>
      </c>
      <c r="E127" s="4">
        <f t="shared" si="1"/>
        <v>5.67</v>
      </c>
      <c r="F127" s="4" t="s">
        <v>275</v>
      </c>
      <c r="G127" s="4">
        <f t="shared" si="2"/>
        <v>5.67</v>
      </c>
      <c r="H127" s="4">
        <v>0.0</v>
      </c>
      <c r="I127" s="4">
        <v>0.0</v>
      </c>
      <c r="J127" s="4">
        <f t="shared" si="3"/>
        <v>0</v>
      </c>
      <c r="K127" s="4">
        <v>0.0</v>
      </c>
      <c r="L127" s="4">
        <f t="shared" si="4"/>
        <v>0</v>
      </c>
      <c r="M127" s="4" t="s">
        <v>276</v>
      </c>
      <c r="N127" s="4">
        <f t="shared" si="5"/>
        <v>5.65</v>
      </c>
      <c r="O127" s="4" t="s">
        <v>102</v>
      </c>
      <c r="P127" s="4">
        <f t="shared" si="6"/>
        <v>0.01</v>
      </c>
      <c r="Q127" s="4">
        <v>0.0</v>
      </c>
      <c r="R127" s="4">
        <v>0.0</v>
      </c>
      <c r="S127" s="4">
        <v>374.0</v>
      </c>
      <c r="T127" s="4">
        <v>1066.0</v>
      </c>
      <c r="U127" s="4">
        <v>1953.0</v>
      </c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4">
        <v>2.873212765E9</v>
      </c>
      <c r="B128" s="4">
        <v>42525.0</v>
      </c>
      <c r="C128" s="4">
        <v>7350.0</v>
      </c>
      <c r="D128" s="4" t="s">
        <v>254</v>
      </c>
      <c r="E128" s="4">
        <f t="shared" si="1"/>
        <v>4.94</v>
      </c>
      <c r="F128" s="4" t="s">
        <v>254</v>
      </c>
      <c r="G128" s="4">
        <f t="shared" si="2"/>
        <v>4.94</v>
      </c>
      <c r="H128" s="4">
        <v>0.0</v>
      </c>
      <c r="I128" s="4">
        <v>0.0</v>
      </c>
      <c r="J128" s="4">
        <f t="shared" si="3"/>
        <v>0</v>
      </c>
      <c r="K128" s="4">
        <v>0.0</v>
      </c>
      <c r="L128" s="4">
        <f t="shared" si="4"/>
        <v>0</v>
      </c>
      <c r="M128" s="4" t="s">
        <v>254</v>
      </c>
      <c r="N128" s="4">
        <f t="shared" si="5"/>
        <v>4.94</v>
      </c>
      <c r="O128" s="4">
        <v>0.0</v>
      </c>
      <c r="P128" s="4">
        <f t="shared" si="6"/>
        <v>0</v>
      </c>
      <c r="Q128" s="4">
        <v>0.0</v>
      </c>
      <c r="R128" s="4">
        <v>0.0</v>
      </c>
      <c r="S128" s="4">
        <v>382.0</v>
      </c>
      <c r="T128" s="4">
        <v>1058.0</v>
      </c>
      <c r="U128" s="4">
        <v>1910.0</v>
      </c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4">
        <v>2.873212765E9</v>
      </c>
      <c r="B129" s="4">
        <v>42555.0</v>
      </c>
      <c r="C129" s="4">
        <v>9353.0</v>
      </c>
      <c r="D129" s="4" t="s">
        <v>277</v>
      </c>
      <c r="E129" s="4">
        <f t="shared" si="1"/>
        <v>6.31</v>
      </c>
      <c r="F129" s="4" t="s">
        <v>277</v>
      </c>
      <c r="G129" s="4">
        <f t="shared" si="2"/>
        <v>6.31</v>
      </c>
      <c r="H129" s="4">
        <v>0.0</v>
      </c>
      <c r="I129" s="4" t="s">
        <v>160</v>
      </c>
      <c r="J129" s="4">
        <f t="shared" si="3"/>
        <v>0.37</v>
      </c>
      <c r="K129" s="4" t="s">
        <v>278</v>
      </c>
      <c r="L129" s="4">
        <f t="shared" si="4"/>
        <v>0.69</v>
      </c>
      <c r="M129" s="4" t="s">
        <v>279</v>
      </c>
      <c r="N129" s="4">
        <f t="shared" si="5"/>
        <v>5.24</v>
      </c>
      <c r="O129" s="4">
        <v>0.0</v>
      </c>
      <c r="P129" s="4">
        <f t="shared" si="6"/>
        <v>0</v>
      </c>
      <c r="Q129" s="4">
        <v>5.0</v>
      </c>
      <c r="R129" s="4">
        <v>17.0</v>
      </c>
      <c r="S129" s="4">
        <v>363.0</v>
      </c>
      <c r="T129" s="4">
        <v>1055.0</v>
      </c>
      <c r="U129" s="4">
        <v>2035.0</v>
      </c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4">
        <v>2.873212765E9</v>
      </c>
      <c r="B130" s="4">
        <v>42586.0</v>
      </c>
      <c r="C130" s="4">
        <v>7157.0</v>
      </c>
      <c r="D130" s="4" t="s">
        <v>280</v>
      </c>
      <c r="E130" s="4">
        <f t="shared" si="1"/>
        <v>4.81</v>
      </c>
      <c r="F130" s="4" t="s">
        <v>280</v>
      </c>
      <c r="G130" s="4">
        <f t="shared" si="2"/>
        <v>4.81</v>
      </c>
      <c r="H130" s="4">
        <v>0.0</v>
      </c>
      <c r="I130" s="4">
        <v>0.0</v>
      </c>
      <c r="J130" s="4">
        <f t="shared" si="3"/>
        <v>0</v>
      </c>
      <c r="K130" s="4">
        <v>0.0</v>
      </c>
      <c r="L130" s="4">
        <f t="shared" si="4"/>
        <v>0</v>
      </c>
      <c r="M130" s="4" t="s">
        <v>280</v>
      </c>
      <c r="N130" s="4">
        <f t="shared" si="5"/>
        <v>4.81</v>
      </c>
      <c r="O130" s="4">
        <v>0.0</v>
      </c>
      <c r="P130" s="4">
        <f t="shared" si="6"/>
        <v>0</v>
      </c>
      <c r="Q130" s="4">
        <v>0.0</v>
      </c>
      <c r="R130" s="4">
        <v>0.0</v>
      </c>
      <c r="S130" s="4">
        <v>380.0</v>
      </c>
      <c r="T130" s="4">
        <v>1060.0</v>
      </c>
      <c r="U130" s="4">
        <v>1944.0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4">
        <v>2.873212765E9</v>
      </c>
      <c r="B131" s="4">
        <v>42617.0</v>
      </c>
      <c r="C131" s="4">
        <v>14103.0</v>
      </c>
      <c r="D131" s="4" t="s">
        <v>281</v>
      </c>
      <c r="E131" s="4">
        <f t="shared" si="1"/>
        <v>9.56</v>
      </c>
      <c r="F131" s="4" t="s">
        <v>281</v>
      </c>
      <c r="G131" s="4">
        <f t="shared" si="2"/>
        <v>9.56</v>
      </c>
      <c r="H131" s="4">
        <v>0.0</v>
      </c>
      <c r="I131" s="4" t="s">
        <v>282</v>
      </c>
      <c r="J131" s="4">
        <f t="shared" si="3"/>
        <v>3.02</v>
      </c>
      <c r="K131" s="4" t="s">
        <v>283</v>
      </c>
      <c r="L131" s="4">
        <f t="shared" si="4"/>
        <v>0.41</v>
      </c>
      <c r="M131" s="4" t="s">
        <v>284</v>
      </c>
      <c r="N131" s="4">
        <f t="shared" si="5"/>
        <v>6.14</v>
      </c>
      <c r="O131" s="4" t="s">
        <v>102</v>
      </c>
      <c r="P131" s="4">
        <f t="shared" si="6"/>
        <v>0.01</v>
      </c>
      <c r="Q131" s="4">
        <v>46.0</v>
      </c>
      <c r="R131" s="4">
        <v>8.0</v>
      </c>
      <c r="S131" s="4">
        <v>288.0</v>
      </c>
      <c r="T131" s="4">
        <v>1098.0</v>
      </c>
      <c r="U131" s="4">
        <v>2257.0</v>
      </c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4">
        <v>2.873212765E9</v>
      </c>
      <c r="B132" s="4">
        <v>42647.0</v>
      </c>
      <c r="C132" s="4">
        <v>5290.0</v>
      </c>
      <c r="D132" s="4" t="s">
        <v>161</v>
      </c>
      <c r="E132" s="4">
        <f t="shared" si="1"/>
        <v>3.55</v>
      </c>
      <c r="F132" s="4" t="s">
        <v>161</v>
      </c>
      <c r="G132" s="4">
        <f t="shared" si="2"/>
        <v>3.55</v>
      </c>
      <c r="H132" s="4">
        <v>0.0</v>
      </c>
      <c r="I132" s="4" t="s">
        <v>285</v>
      </c>
      <c r="J132" s="4">
        <f t="shared" si="3"/>
        <v>0.04</v>
      </c>
      <c r="K132" s="4" t="s">
        <v>142</v>
      </c>
      <c r="L132" s="4">
        <f t="shared" si="4"/>
        <v>0.34</v>
      </c>
      <c r="M132" s="4" t="s">
        <v>286</v>
      </c>
      <c r="N132" s="4">
        <f t="shared" si="5"/>
        <v>3.17</v>
      </c>
      <c r="O132" s="4">
        <v>0.0</v>
      </c>
      <c r="P132" s="4">
        <f t="shared" si="6"/>
        <v>0</v>
      </c>
      <c r="Q132" s="4">
        <v>1.0</v>
      </c>
      <c r="R132" s="4">
        <v>8.0</v>
      </c>
      <c r="S132" s="4">
        <v>251.0</v>
      </c>
      <c r="T132" s="4">
        <v>1180.0</v>
      </c>
      <c r="U132" s="4">
        <v>1724.0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4">
        <v>2.873212765E9</v>
      </c>
      <c r="B133" s="4">
        <v>42678.0</v>
      </c>
      <c r="C133" s="4">
        <v>7497.0</v>
      </c>
      <c r="D133" s="4" t="s">
        <v>58</v>
      </c>
      <c r="E133" s="4">
        <f t="shared" si="1"/>
        <v>5.04</v>
      </c>
      <c r="F133" s="4" t="s">
        <v>58</v>
      </c>
      <c r="G133" s="4">
        <f t="shared" si="2"/>
        <v>5.04</v>
      </c>
      <c r="H133" s="4">
        <v>0.0</v>
      </c>
      <c r="I133" s="4">
        <v>0.0</v>
      </c>
      <c r="J133" s="4">
        <f t="shared" si="3"/>
        <v>0</v>
      </c>
      <c r="K133" s="4">
        <v>0.0</v>
      </c>
      <c r="L133" s="4">
        <f t="shared" si="4"/>
        <v>0</v>
      </c>
      <c r="M133" s="4" t="s">
        <v>58</v>
      </c>
      <c r="N133" s="4">
        <f t="shared" si="5"/>
        <v>5.04</v>
      </c>
      <c r="O133" s="4">
        <v>0.0</v>
      </c>
      <c r="P133" s="4">
        <f t="shared" si="6"/>
        <v>0</v>
      </c>
      <c r="Q133" s="4">
        <v>0.0</v>
      </c>
      <c r="R133" s="4">
        <v>0.0</v>
      </c>
      <c r="S133" s="4">
        <v>357.0</v>
      </c>
      <c r="T133" s="4">
        <v>882.0</v>
      </c>
      <c r="U133" s="4">
        <v>1741.0</v>
      </c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4">
        <v>2.873212765E9</v>
      </c>
      <c r="B134" s="4">
        <v>42708.0</v>
      </c>
      <c r="C134" s="4">
        <v>0.0</v>
      </c>
      <c r="D134" s="4">
        <v>0.0</v>
      </c>
      <c r="E134" s="4">
        <f t="shared" si="1"/>
        <v>0</v>
      </c>
      <c r="F134" s="4">
        <v>0.0</v>
      </c>
      <c r="G134" s="4">
        <f t="shared" si="2"/>
        <v>0</v>
      </c>
      <c r="H134" s="4">
        <v>0.0</v>
      </c>
      <c r="I134" s="4">
        <v>0.0</v>
      </c>
      <c r="J134" s="4">
        <f t="shared" si="3"/>
        <v>0</v>
      </c>
      <c r="K134" s="4">
        <v>0.0</v>
      </c>
      <c r="L134" s="4">
        <f t="shared" si="4"/>
        <v>0</v>
      </c>
      <c r="M134" s="4">
        <v>0.0</v>
      </c>
      <c r="N134" s="4">
        <f t="shared" si="5"/>
        <v>0</v>
      </c>
      <c r="O134" s="4">
        <v>0.0</v>
      </c>
      <c r="P134" s="4">
        <f t="shared" si="6"/>
        <v>0</v>
      </c>
      <c r="Q134" s="4">
        <v>0.0</v>
      </c>
      <c r="R134" s="4">
        <v>0.0</v>
      </c>
      <c r="S134" s="4">
        <v>0.0</v>
      </c>
      <c r="T134" s="4">
        <v>1440.0</v>
      </c>
      <c r="U134" s="4">
        <v>0.0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4">
        <v>2.891001357E9</v>
      </c>
      <c r="B135" s="4" t="s">
        <v>42</v>
      </c>
      <c r="C135" s="4">
        <v>0.0</v>
      </c>
      <c r="D135" s="4">
        <v>0.0</v>
      </c>
      <c r="E135" s="4">
        <f t="shared" si="1"/>
        <v>0</v>
      </c>
      <c r="F135" s="4">
        <v>0.0</v>
      </c>
      <c r="G135" s="4">
        <f t="shared" si="2"/>
        <v>0</v>
      </c>
      <c r="H135" s="4">
        <v>0.0</v>
      </c>
      <c r="I135" s="4">
        <v>0.0</v>
      </c>
      <c r="J135" s="4">
        <f t="shared" si="3"/>
        <v>0</v>
      </c>
      <c r="K135" s="4">
        <v>0.0</v>
      </c>
      <c r="L135" s="4">
        <f t="shared" si="4"/>
        <v>0</v>
      </c>
      <c r="M135" s="4">
        <v>0.0</v>
      </c>
      <c r="N135" s="4">
        <f t="shared" si="5"/>
        <v>0</v>
      </c>
      <c r="O135" s="4">
        <v>0.0</v>
      </c>
      <c r="P135" s="4">
        <f t="shared" si="6"/>
        <v>0</v>
      </c>
      <c r="Q135" s="4">
        <v>0.0</v>
      </c>
      <c r="R135" s="4">
        <v>0.0</v>
      </c>
      <c r="S135" s="4">
        <v>0.0</v>
      </c>
      <c r="T135" s="4">
        <v>1440.0</v>
      </c>
      <c r="U135" s="4">
        <v>1920.0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4">
        <v>2.891001357E9</v>
      </c>
      <c r="B136" s="4" t="s">
        <v>48</v>
      </c>
      <c r="C136" s="4">
        <v>0.0</v>
      </c>
      <c r="D136" s="4">
        <v>0.0</v>
      </c>
      <c r="E136" s="4">
        <f t="shared" si="1"/>
        <v>0</v>
      </c>
      <c r="F136" s="4">
        <v>0.0</v>
      </c>
      <c r="G136" s="4">
        <f t="shared" si="2"/>
        <v>0</v>
      </c>
      <c r="H136" s="4">
        <v>0.0</v>
      </c>
      <c r="I136" s="4">
        <v>0.0</v>
      </c>
      <c r="J136" s="4">
        <f t="shared" si="3"/>
        <v>0</v>
      </c>
      <c r="K136" s="4">
        <v>0.0</v>
      </c>
      <c r="L136" s="4">
        <f t="shared" si="4"/>
        <v>0</v>
      </c>
      <c r="M136" s="4">
        <v>0.0</v>
      </c>
      <c r="N136" s="4">
        <f t="shared" si="5"/>
        <v>0</v>
      </c>
      <c r="O136" s="4">
        <v>0.0</v>
      </c>
      <c r="P136" s="4">
        <f t="shared" si="6"/>
        <v>0</v>
      </c>
      <c r="Q136" s="4">
        <v>0.0</v>
      </c>
      <c r="R136" s="4">
        <v>0.0</v>
      </c>
      <c r="S136" s="4">
        <v>0.0</v>
      </c>
      <c r="T136" s="4">
        <v>1440.0</v>
      </c>
      <c r="U136" s="4">
        <v>1920.0</v>
      </c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4">
        <v>2.891001357E9</v>
      </c>
      <c r="B137" s="4" t="s">
        <v>54</v>
      </c>
      <c r="C137" s="4">
        <v>0.0</v>
      </c>
      <c r="D137" s="4">
        <v>0.0</v>
      </c>
      <c r="E137" s="4">
        <f t="shared" si="1"/>
        <v>0</v>
      </c>
      <c r="F137" s="4">
        <v>0.0</v>
      </c>
      <c r="G137" s="4">
        <f t="shared" si="2"/>
        <v>0</v>
      </c>
      <c r="H137" s="4">
        <v>0.0</v>
      </c>
      <c r="I137" s="4">
        <v>0.0</v>
      </c>
      <c r="J137" s="4">
        <f t="shared" si="3"/>
        <v>0</v>
      </c>
      <c r="K137" s="4">
        <v>0.0</v>
      </c>
      <c r="L137" s="4">
        <f t="shared" si="4"/>
        <v>0</v>
      </c>
      <c r="M137" s="4">
        <v>0.0</v>
      </c>
      <c r="N137" s="4">
        <f t="shared" si="5"/>
        <v>0</v>
      </c>
      <c r="O137" s="4">
        <v>0.0</v>
      </c>
      <c r="P137" s="4">
        <f t="shared" si="6"/>
        <v>0</v>
      </c>
      <c r="Q137" s="4">
        <v>0.0</v>
      </c>
      <c r="R137" s="4">
        <v>0.0</v>
      </c>
      <c r="S137" s="4">
        <v>0.0</v>
      </c>
      <c r="T137" s="4">
        <v>1440.0</v>
      </c>
      <c r="U137" s="4">
        <v>1920.0</v>
      </c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4">
        <v>2.891001357E9</v>
      </c>
      <c r="B138" s="4">
        <v>42373.0</v>
      </c>
      <c r="C138" s="4">
        <v>0.0</v>
      </c>
      <c r="D138" s="4">
        <v>0.0</v>
      </c>
      <c r="E138" s="4">
        <f t="shared" si="1"/>
        <v>0</v>
      </c>
      <c r="F138" s="4">
        <v>0.0</v>
      </c>
      <c r="G138" s="4">
        <f t="shared" si="2"/>
        <v>0</v>
      </c>
      <c r="H138" s="4" t="s">
        <v>287</v>
      </c>
      <c r="I138" s="4">
        <v>0.0</v>
      </c>
      <c r="J138" s="4">
        <f t="shared" si="3"/>
        <v>0</v>
      </c>
      <c r="K138" s="4">
        <v>0.0</v>
      </c>
      <c r="L138" s="4">
        <f t="shared" si="4"/>
        <v>0</v>
      </c>
      <c r="M138" s="4">
        <v>0.0</v>
      </c>
      <c r="N138" s="4">
        <f t="shared" si="5"/>
        <v>0</v>
      </c>
      <c r="O138" s="4">
        <v>0.0</v>
      </c>
      <c r="P138" s="4">
        <f t="shared" si="6"/>
        <v>0</v>
      </c>
      <c r="Q138" s="4">
        <v>0.0</v>
      </c>
      <c r="R138" s="4">
        <v>660.0</v>
      </c>
      <c r="S138" s="4">
        <v>0.0</v>
      </c>
      <c r="T138" s="4">
        <v>780.0</v>
      </c>
      <c r="U138" s="4">
        <v>4562.0</v>
      </c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4">
        <v>2.891001357E9</v>
      </c>
      <c r="B139" s="4">
        <v>42404.0</v>
      </c>
      <c r="C139" s="4">
        <v>4126.0</v>
      </c>
      <c r="D139" s="4" t="s">
        <v>288</v>
      </c>
      <c r="E139" s="4">
        <f t="shared" si="1"/>
        <v>3.22</v>
      </c>
      <c r="F139" s="4">
        <v>0.0</v>
      </c>
      <c r="G139" s="4">
        <f t="shared" si="2"/>
        <v>0</v>
      </c>
      <c r="H139" s="4" t="s">
        <v>289</v>
      </c>
      <c r="I139" s="4">
        <v>0.0</v>
      </c>
      <c r="J139" s="4">
        <f t="shared" si="3"/>
        <v>0</v>
      </c>
      <c r="K139" s="4">
        <v>0.0</v>
      </c>
      <c r="L139" s="4">
        <f t="shared" si="4"/>
        <v>0</v>
      </c>
      <c r="M139" s="4" t="s">
        <v>288</v>
      </c>
      <c r="N139" s="4">
        <f t="shared" si="5"/>
        <v>3.22</v>
      </c>
      <c r="O139" s="4">
        <v>0.0</v>
      </c>
      <c r="P139" s="4">
        <f t="shared" si="6"/>
        <v>0</v>
      </c>
      <c r="Q139" s="4">
        <v>0.0</v>
      </c>
      <c r="R139" s="4">
        <v>0.0</v>
      </c>
      <c r="S139" s="4">
        <v>720.0</v>
      </c>
      <c r="T139" s="4">
        <v>720.0</v>
      </c>
      <c r="U139" s="4">
        <v>2881.0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4">
        <v>2.891001357E9</v>
      </c>
      <c r="B140" s="4">
        <v>42433.0</v>
      </c>
      <c r="C140" s="4">
        <v>0.0</v>
      </c>
      <c r="D140" s="4">
        <v>0.0</v>
      </c>
      <c r="E140" s="4">
        <f t="shared" si="1"/>
        <v>0</v>
      </c>
      <c r="F140" s="4">
        <v>0.0</v>
      </c>
      <c r="G140" s="4">
        <f t="shared" si="2"/>
        <v>0</v>
      </c>
      <c r="H140" s="4">
        <v>0.0</v>
      </c>
      <c r="I140" s="4">
        <v>0.0</v>
      </c>
      <c r="J140" s="4">
        <f t="shared" si="3"/>
        <v>0</v>
      </c>
      <c r="K140" s="4">
        <v>0.0</v>
      </c>
      <c r="L140" s="4">
        <f t="shared" si="4"/>
        <v>0</v>
      </c>
      <c r="M140" s="4">
        <v>0.0</v>
      </c>
      <c r="N140" s="4">
        <f t="shared" si="5"/>
        <v>0</v>
      </c>
      <c r="O140" s="4">
        <v>0.0</v>
      </c>
      <c r="P140" s="4">
        <f t="shared" si="6"/>
        <v>0</v>
      </c>
      <c r="Q140" s="4">
        <v>0.0</v>
      </c>
      <c r="R140" s="4">
        <v>0.0</v>
      </c>
      <c r="S140" s="4">
        <v>0.0</v>
      </c>
      <c r="T140" s="4">
        <v>1440.0</v>
      </c>
      <c r="U140" s="4">
        <v>1920.0</v>
      </c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4">
        <v>2.891001357E9</v>
      </c>
      <c r="B141" s="4">
        <v>42464.0</v>
      </c>
      <c r="C141" s="4">
        <v>0.0</v>
      </c>
      <c r="D141" s="4">
        <v>0.0</v>
      </c>
      <c r="E141" s="4">
        <f t="shared" si="1"/>
        <v>0</v>
      </c>
      <c r="F141" s="4">
        <v>0.0</v>
      </c>
      <c r="G141" s="4">
        <f t="shared" si="2"/>
        <v>0</v>
      </c>
      <c r="H141" s="4">
        <v>0.0</v>
      </c>
      <c r="I141" s="4">
        <v>0.0</v>
      </c>
      <c r="J141" s="4">
        <f t="shared" si="3"/>
        <v>0</v>
      </c>
      <c r="K141" s="4">
        <v>0.0</v>
      </c>
      <c r="L141" s="4">
        <f t="shared" si="4"/>
        <v>0</v>
      </c>
      <c r="M141" s="4">
        <v>0.0</v>
      </c>
      <c r="N141" s="4">
        <f t="shared" si="5"/>
        <v>0</v>
      </c>
      <c r="O141" s="4">
        <v>0.0</v>
      </c>
      <c r="P141" s="4">
        <f t="shared" si="6"/>
        <v>0</v>
      </c>
      <c r="Q141" s="4">
        <v>0.0</v>
      </c>
      <c r="R141" s="4">
        <v>0.0</v>
      </c>
      <c r="S141" s="4">
        <v>0.0</v>
      </c>
      <c r="T141" s="4">
        <v>1440.0</v>
      </c>
      <c r="U141" s="4">
        <v>1920.0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4">
        <v>2.891001357E9</v>
      </c>
      <c r="B142" s="4">
        <v>42494.0</v>
      </c>
      <c r="C142" s="4">
        <v>2063.0</v>
      </c>
      <c r="D142" s="4" t="s">
        <v>290</v>
      </c>
      <c r="E142" s="4">
        <f t="shared" si="1"/>
        <v>1.61</v>
      </c>
      <c r="F142" s="4">
        <v>0.0</v>
      </c>
      <c r="G142" s="4">
        <f t="shared" si="2"/>
        <v>0</v>
      </c>
      <c r="H142" s="4" t="s">
        <v>291</v>
      </c>
      <c r="I142" s="4">
        <v>0.0</v>
      </c>
      <c r="J142" s="4">
        <f t="shared" si="3"/>
        <v>0</v>
      </c>
      <c r="K142" s="4">
        <v>0.0</v>
      </c>
      <c r="L142" s="4">
        <f t="shared" si="4"/>
        <v>0</v>
      </c>
      <c r="M142" s="4" t="s">
        <v>290</v>
      </c>
      <c r="N142" s="4">
        <f t="shared" si="5"/>
        <v>1.61</v>
      </c>
      <c r="O142" s="4">
        <v>0.0</v>
      </c>
      <c r="P142" s="4">
        <f t="shared" si="6"/>
        <v>0</v>
      </c>
      <c r="Q142" s="4">
        <v>0.0</v>
      </c>
      <c r="R142" s="4">
        <v>0.0</v>
      </c>
      <c r="S142" s="4">
        <v>630.0</v>
      </c>
      <c r="T142" s="4">
        <v>99.0</v>
      </c>
      <c r="U142" s="4">
        <v>1144.0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4">
        <v>3.372868164E9</v>
      </c>
      <c r="B143" s="4">
        <v>42373.0</v>
      </c>
      <c r="C143" s="4">
        <v>5785.0</v>
      </c>
      <c r="D143" s="4" t="s">
        <v>292</v>
      </c>
      <c r="E143" s="4">
        <f t="shared" si="1"/>
        <v>3.95</v>
      </c>
      <c r="F143" s="4" t="s">
        <v>292</v>
      </c>
      <c r="G143" s="4">
        <f t="shared" si="2"/>
        <v>3.95</v>
      </c>
      <c r="H143" s="4">
        <v>0.0</v>
      </c>
      <c r="I143" s="4">
        <v>0.0</v>
      </c>
      <c r="J143" s="4">
        <f t="shared" si="3"/>
        <v>0</v>
      </c>
      <c r="K143" s="4">
        <v>0.0</v>
      </c>
      <c r="L143" s="4">
        <f t="shared" si="4"/>
        <v>0</v>
      </c>
      <c r="M143" s="4" t="s">
        <v>30</v>
      </c>
      <c r="N143" s="4">
        <f t="shared" si="5"/>
        <v>3.91</v>
      </c>
      <c r="O143" s="4" t="s">
        <v>285</v>
      </c>
      <c r="P143" s="4">
        <f t="shared" si="6"/>
        <v>0.04</v>
      </c>
      <c r="Q143" s="4">
        <v>0.0</v>
      </c>
      <c r="R143" s="4">
        <v>0.0</v>
      </c>
      <c r="S143" s="4">
        <v>311.0</v>
      </c>
      <c r="T143" s="4">
        <v>1129.0</v>
      </c>
      <c r="U143" s="4">
        <v>1852.0</v>
      </c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4">
        <v>3.372868164E9</v>
      </c>
      <c r="B144" s="4">
        <v>42404.0</v>
      </c>
      <c r="C144" s="4">
        <v>7625.0</v>
      </c>
      <c r="D144" s="4" t="s">
        <v>293</v>
      </c>
      <c r="E144" s="4">
        <f t="shared" si="1"/>
        <v>5.23</v>
      </c>
      <c r="F144" s="4" t="s">
        <v>293</v>
      </c>
      <c r="G144" s="4">
        <f t="shared" si="2"/>
        <v>5.23</v>
      </c>
      <c r="H144" s="4">
        <v>0.0</v>
      </c>
      <c r="I144" s="4" t="s">
        <v>294</v>
      </c>
      <c r="J144" s="4">
        <f t="shared" si="3"/>
        <v>1.68</v>
      </c>
      <c r="K144" s="4" t="s">
        <v>285</v>
      </c>
      <c r="L144" s="4">
        <f t="shared" si="4"/>
        <v>0.04</v>
      </c>
      <c r="M144" s="4">
        <v>45780.0</v>
      </c>
      <c r="N144" s="4">
        <f t="shared" si="5"/>
        <v>45780</v>
      </c>
      <c r="O144" s="4" t="s">
        <v>102</v>
      </c>
      <c r="P144" s="4">
        <f t="shared" si="6"/>
        <v>0.01</v>
      </c>
      <c r="Q144" s="4">
        <v>24.0</v>
      </c>
      <c r="R144" s="4">
        <v>1.0</v>
      </c>
      <c r="S144" s="4">
        <v>341.0</v>
      </c>
      <c r="T144" s="4">
        <v>1074.0</v>
      </c>
      <c r="U144" s="4">
        <v>2069.0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4">
        <v>3.372868164E9</v>
      </c>
      <c r="B145" s="4">
        <v>42433.0</v>
      </c>
      <c r="C145" s="4">
        <v>4706.0</v>
      </c>
      <c r="D145" s="4" t="s">
        <v>295</v>
      </c>
      <c r="E145" s="4">
        <f t="shared" si="1"/>
        <v>3.21</v>
      </c>
      <c r="F145" s="4" t="s">
        <v>295</v>
      </c>
      <c r="G145" s="4">
        <f t="shared" si="2"/>
        <v>3.21</v>
      </c>
      <c r="H145" s="4">
        <v>0.0</v>
      </c>
      <c r="I145" s="4">
        <v>0.0</v>
      </c>
      <c r="J145" s="4">
        <f t="shared" si="3"/>
        <v>0</v>
      </c>
      <c r="K145" s="4">
        <v>0.0</v>
      </c>
      <c r="L145" s="4">
        <f t="shared" si="4"/>
        <v>0</v>
      </c>
      <c r="M145" s="4" t="s">
        <v>295</v>
      </c>
      <c r="N145" s="4">
        <f t="shared" si="5"/>
        <v>3.21</v>
      </c>
      <c r="O145" s="4">
        <v>0.0</v>
      </c>
      <c r="P145" s="4">
        <f t="shared" si="6"/>
        <v>0</v>
      </c>
      <c r="Q145" s="4">
        <v>0.0</v>
      </c>
      <c r="R145" s="4">
        <v>0.0</v>
      </c>
      <c r="S145" s="4">
        <v>299.0</v>
      </c>
      <c r="T145" s="4">
        <v>1141.0</v>
      </c>
      <c r="U145" s="4">
        <v>1816.0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4">
        <v>3.372868164E9</v>
      </c>
      <c r="B146" s="4">
        <v>42464.0</v>
      </c>
      <c r="C146" s="4">
        <v>5861.0</v>
      </c>
      <c r="D146" s="4" t="s">
        <v>296</v>
      </c>
      <c r="E146" s="4">
        <f t="shared" si="1"/>
        <v>4.02</v>
      </c>
      <c r="F146" s="4" t="s">
        <v>296</v>
      </c>
      <c r="G146" s="4">
        <f t="shared" si="2"/>
        <v>4.02</v>
      </c>
      <c r="H146" s="4">
        <v>0.0</v>
      </c>
      <c r="I146" s="4" t="s">
        <v>297</v>
      </c>
      <c r="J146" s="4">
        <f t="shared" si="3"/>
        <v>1.3</v>
      </c>
      <c r="K146" s="4" t="s">
        <v>211</v>
      </c>
      <c r="L146" s="4">
        <f t="shared" si="4"/>
        <v>0.22</v>
      </c>
      <c r="M146" s="4" t="s">
        <v>298</v>
      </c>
      <c r="N146" s="4">
        <f t="shared" si="5"/>
        <v>2.49</v>
      </c>
      <c r="O146" s="4" t="s">
        <v>102</v>
      </c>
      <c r="P146" s="4">
        <f t="shared" si="6"/>
        <v>0.01</v>
      </c>
      <c r="Q146" s="4">
        <v>20.0</v>
      </c>
      <c r="R146" s="4">
        <v>7.0</v>
      </c>
      <c r="S146" s="4">
        <v>233.0</v>
      </c>
      <c r="T146" s="4">
        <v>1180.0</v>
      </c>
      <c r="U146" s="4">
        <v>1878.0</v>
      </c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4">
        <v>3.372868164E9</v>
      </c>
      <c r="B147" s="4">
        <v>42494.0</v>
      </c>
      <c r="C147" s="4">
        <v>4460.0</v>
      </c>
      <c r="D147" s="4" t="s">
        <v>299</v>
      </c>
      <c r="E147" s="4">
        <f t="shared" si="1"/>
        <v>3.04</v>
      </c>
      <c r="F147" s="4" t="s">
        <v>299</v>
      </c>
      <c r="G147" s="4">
        <f t="shared" si="2"/>
        <v>3.04</v>
      </c>
      <c r="H147" s="4">
        <v>0.0</v>
      </c>
      <c r="I147" s="4">
        <v>0.0</v>
      </c>
      <c r="J147" s="4">
        <f t="shared" si="3"/>
        <v>0</v>
      </c>
      <c r="K147" s="4">
        <v>0.0</v>
      </c>
      <c r="L147" s="4">
        <f t="shared" si="4"/>
        <v>0</v>
      </c>
      <c r="M147" s="4" t="s">
        <v>282</v>
      </c>
      <c r="N147" s="4">
        <f t="shared" si="5"/>
        <v>3.02</v>
      </c>
      <c r="O147" s="4" t="s">
        <v>121</v>
      </c>
      <c r="P147" s="4">
        <f t="shared" si="6"/>
        <v>0.03</v>
      </c>
      <c r="Q147" s="4">
        <v>0.0</v>
      </c>
      <c r="R147" s="4">
        <v>0.0</v>
      </c>
      <c r="S147" s="4">
        <v>248.0</v>
      </c>
      <c r="T147" s="4">
        <v>1192.0</v>
      </c>
      <c r="U147" s="4">
        <v>1787.0</v>
      </c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4">
        <v>3.372868164E9</v>
      </c>
      <c r="B148" s="4">
        <v>42525.0</v>
      </c>
      <c r="C148" s="4">
        <v>6406.0</v>
      </c>
      <c r="D148" s="4" t="s">
        <v>300</v>
      </c>
      <c r="E148" s="4">
        <f t="shared" si="1"/>
        <v>4.39</v>
      </c>
      <c r="F148" s="4" t="s">
        <v>300</v>
      </c>
      <c r="G148" s="4">
        <f t="shared" si="2"/>
        <v>4.39</v>
      </c>
      <c r="H148" s="4">
        <v>0.0</v>
      </c>
      <c r="I148" s="4" t="s">
        <v>128</v>
      </c>
      <c r="J148" s="4">
        <f t="shared" si="3"/>
        <v>0.78</v>
      </c>
      <c r="K148" s="4" t="s">
        <v>301</v>
      </c>
      <c r="L148" s="4">
        <f t="shared" si="4"/>
        <v>0.09</v>
      </c>
      <c r="M148" s="4" t="s">
        <v>302</v>
      </c>
      <c r="N148" s="4">
        <f t="shared" si="5"/>
        <v>3.52</v>
      </c>
      <c r="O148" s="4" t="s">
        <v>102</v>
      </c>
      <c r="P148" s="4">
        <f t="shared" si="6"/>
        <v>0.01</v>
      </c>
      <c r="Q148" s="4">
        <v>17.0</v>
      </c>
      <c r="R148" s="4">
        <v>4.0</v>
      </c>
      <c r="S148" s="4">
        <v>325.0</v>
      </c>
      <c r="T148" s="4">
        <v>1094.0</v>
      </c>
      <c r="U148" s="4">
        <v>2010.0</v>
      </c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4">
        <v>3.372868164E9</v>
      </c>
      <c r="B149" s="4">
        <v>42555.0</v>
      </c>
      <c r="C149" s="4">
        <v>7392.0</v>
      </c>
      <c r="D149" s="4" t="s">
        <v>303</v>
      </c>
      <c r="E149" s="4">
        <f t="shared" si="1"/>
        <v>5.1</v>
      </c>
      <c r="F149" s="4" t="s">
        <v>303</v>
      </c>
      <c r="G149" s="4">
        <f t="shared" si="2"/>
        <v>5.1</v>
      </c>
      <c r="H149" s="4">
        <v>0.0</v>
      </c>
      <c r="I149" s="4" t="s">
        <v>115</v>
      </c>
      <c r="J149" s="4">
        <f t="shared" si="3"/>
        <v>0.87</v>
      </c>
      <c r="K149" s="4" t="s">
        <v>34</v>
      </c>
      <c r="L149" s="4">
        <f t="shared" si="4"/>
        <v>0.16</v>
      </c>
      <c r="M149" s="4" t="s">
        <v>304</v>
      </c>
      <c r="N149" s="4">
        <f t="shared" si="5"/>
        <v>4.05</v>
      </c>
      <c r="O149" s="4" t="s">
        <v>179</v>
      </c>
      <c r="P149" s="4">
        <f t="shared" si="6"/>
        <v>0.02</v>
      </c>
      <c r="Q149" s="4">
        <v>14.0</v>
      </c>
      <c r="R149" s="4">
        <v>9.0</v>
      </c>
      <c r="S149" s="4">
        <v>332.0</v>
      </c>
      <c r="T149" s="4">
        <v>1085.0</v>
      </c>
      <c r="U149" s="4">
        <v>2038.0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4">
        <v>3.372868164E9</v>
      </c>
      <c r="B150" s="4">
        <v>42586.0</v>
      </c>
      <c r="C150" s="4">
        <v>5551.0</v>
      </c>
      <c r="D150" s="4" t="s">
        <v>136</v>
      </c>
      <c r="E150" s="4">
        <f t="shared" si="1"/>
        <v>3.79</v>
      </c>
      <c r="F150" s="4" t="s">
        <v>136</v>
      </c>
      <c r="G150" s="4">
        <f t="shared" si="2"/>
        <v>3.79</v>
      </c>
      <c r="H150" s="4">
        <v>0.0</v>
      </c>
      <c r="I150" s="4">
        <v>0.0</v>
      </c>
      <c r="J150" s="4">
        <f t="shared" si="3"/>
        <v>0</v>
      </c>
      <c r="K150" s="4">
        <v>0.0</v>
      </c>
      <c r="L150" s="4">
        <f t="shared" si="4"/>
        <v>0</v>
      </c>
      <c r="M150" s="4" t="s">
        <v>305</v>
      </c>
      <c r="N150" s="4">
        <f t="shared" si="5"/>
        <v>3.77</v>
      </c>
      <c r="O150" s="4" t="s">
        <v>102</v>
      </c>
      <c r="P150" s="4">
        <f t="shared" si="6"/>
        <v>0.01</v>
      </c>
      <c r="Q150" s="4">
        <v>0.0</v>
      </c>
      <c r="R150" s="4">
        <v>0.0</v>
      </c>
      <c r="S150" s="4">
        <v>282.0</v>
      </c>
      <c r="T150" s="4">
        <v>1158.0</v>
      </c>
      <c r="U150" s="4">
        <v>1815.0</v>
      </c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4">
        <v>3.372868164E9</v>
      </c>
      <c r="B151" s="4">
        <v>42617.0</v>
      </c>
      <c r="C151" s="4">
        <v>8827.0</v>
      </c>
      <c r="D151" s="4" t="s">
        <v>306</v>
      </c>
      <c r="E151" s="4">
        <f t="shared" si="1"/>
        <v>6.25</v>
      </c>
      <c r="F151" s="4" t="s">
        <v>306</v>
      </c>
      <c r="G151" s="4">
        <f t="shared" si="2"/>
        <v>6.25</v>
      </c>
      <c r="H151" s="4">
        <v>0.0</v>
      </c>
      <c r="I151" s="4" t="s">
        <v>234</v>
      </c>
      <c r="J151" s="4">
        <f t="shared" si="3"/>
        <v>1.77</v>
      </c>
      <c r="K151" s="4" t="s">
        <v>81</v>
      </c>
      <c r="L151" s="4">
        <f t="shared" si="4"/>
        <v>0.48</v>
      </c>
      <c r="M151" s="4">
        <v>4.0</v>
      </c>
      <c r="N151" s="4">
        <f t="shared" si="5"/>
        <v>4</v>
      </c>
      <c r="O151" s="4" t="s">
        <v>102</v>
      </c>
      <c r="P151" s="4">
        <f t="shared" si="6"/>
        <v>0.01</v>
      </c>
      <c r="Q151" s="4">
        <v>21.0</v>
      </c>
      <c r="R151" s="4">
        <v>10.0</v>
      </c>
      <c r="S151" s="4">
        <v>346.0</v>
      </c>
      <c r="T151" s="4">
        <v>1063.0</v>
      </c>
      <c r="U151" s="4">
        <v>2062.0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4">
        <v>3.372868164E9</v>
      </c>
      <c r="B152" s="4">
        <v>42647.0</v>
      </c>
      <c r="C152" s="4">
        <v>4662.0</v>
      </c>
      <c r="D152" s="4" t="s">
        <v>307</v>
      </c>
      <c r="E152" s="4">
        <f t="shared" si="1"/>
        <v>3.18</v>
      </c>
      <c r="F152" s="4" t="s">
        <v>307</v>
      </c>
      <c r="G152" s="4">
        <f t="shared" si="2"/>
        <v>3.18</v>
      </c>
      <c r="H152" s="4">
        <v>0.0</v>
      </c>
      <c r="I152" s="4" t="s">
        <v>308</v>
      </c>
      <c r="J152" s="4">
        <f t="shared" si="3"/>
        <v>1.04</v>
      </c>
      <c r="K152" s="4" t="s">
        <v>309</v>
      </c>
      <c r="L152" s="4">
        <f t="shared" si="4"/>
        <v>0.15</v>
      </c>
      <c r="M152" s="4" t="s">
        <v>310</v>
      </c>
      <c r="N152" s="4">
        <f t="shared" si="5"/>
        <v>1.99</v>
      </c>
      <c r="O152" s="4">
        <v>0.0</v>
      </c>
      <c r="P152" s="4">
        <f t="shared" si="6"/>
        <v>0</v>
      </c>
      <c r="Q152" s="4">
        <v>22.0</v>
      </c>
      <c r="R152" s="4">
        <v>4.0</v>
      </c>
      <c r="S152" s="4">
        <v>152.0</v>
      </c>
      <c r="T152" s="4">
        <v>735.0</v>
      </c>
      <c r="U152" s="4">
        <v>1276.0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4">
        <v>3.977333714E9</v>
      </c>
      <c r="B153" s="4">
        <v>42373.0</v>
      </c>
      <c r="C153" s="4">
        <v>4499.0</v>
      </c>
      <c r="D153" s="4" t="s">
        <v>311</v>
      </c>
      <c r="E153" s="4">
        <f t="shared" si="1"/>
        <v>3.01</v>
      </c>
      <c r="F153" s="4" t="s">
        <v>311</v>
      </c>
      <c r="G153" s="4">
        <f t="shared" si="2"/>
        <v>3.01</v>
      </c>
      <c r="H153" s="4">
        <v>0.0</v>
      </c>
      <c r="I153" s="4">
        <v>0.0</v>
      </c>
      <c r="J153" s="4">
        <f t="shared" si="3"/>
        <v>0</v>
      </c>
      <c r="K153" s="4">
        <v>0.0</v>
      </c>
      <c r="L153" s="4">
        <f t="shared" si="4"/>
        <v>0</v>
      </c>
      <c r="M153" s="4" t="s">
        <v>311</v>
      </c>
      <c r="N153" s="4">
        <f t="shared" si="5"/>
        <v>3.01</v>
      </c>
      <c r="O153" s="4">
        <v>0.0</v>
      </c>
      <c r="P153" s="4">
        <f t="shared" si="6"/>
        <v>0</v>
      </c>
      <c r="Q153" s="4">
        <v>0.0</v>
      </c>
      <c r="R153" s="4">
        <v>0.0</v>
      </c>
      <c r="S153" s="4">
        <v>168.0</v>
      </c>
      <c r="T153" s="4">
        <v>842.0</v>
      </c>
      <c r="U153" s="4">
        <v>1288.0</v>
      </c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4">
        <v>3.977333714E9</v>
      </c>
      <c r="B154" s="4">
        <v>42404.0</v>
      </c>
      <c r="C154" s="4">
        <v>7618.0</v>
      </c>
      <c r="D154" s="4" t="s">
        <v>303</v>
      </c>
      <c r="E154" s="4">
        <f t="shared" si="1"/>
        <v>5.1</v>
      </c>
      <c r="F154" s="4" t="s">
        <v>303</v>
      </c>
      <c r="G154" s="4">
        <f t="shared" si="2"/>
        <v>5.1</v>
      </c>
      <c r="H154" s="4">
        <v>0.0</v>
      </c>
      <c r="I154" s="4">
        <v>0.0</v>
      </c>
      <c r="J154" s="4">
        <f t="shared" si="3"/>
        <v>0</v>
      </c>
      <c r="K154" s="4" t="s">
        <v>312</v>
      </c>
      <c r="L154" s="4">
        <f t="shared" si="4"/>
        <v>0.18</v>
      </c>
      <c r="M154" s="4" t="s">
        <v>313</v>
      </c>
      <c r="N154" s="4">
        <f t="shared" si="5"/>
        <v>4.91</v>
      </c>
      <c r="O154" s="4">
        <v>0.0</v>
      </c>
      <c r="P154" s="4">
        <f t="shared" si="6"/>
        <v>0</v>
      </c>
      <c r="Q154" s="4">
        <v>0.0</v>
      </c>
      <c r="R154" s="4">
        <v>6.0</v>
      </c>
      <c r="S154" s="4">
        <v>302.0</v>
      </c>
      <c r="T154" s="4">
        <v>842.0</v>
      </c>
      <c r="U154" s="4">
        <v>1490.0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4">
        <v>3.977333714E9</v>
      </c>
      <c r="B155" s="4">
        <v>42433.0</v>
      </c>
      <c r="C155" s="4">
        <v>11508.0</v>
      </c>
      <c r="D155" s="4" t="s">
        <v>314</v>
      </c>
      <c r="E155" s="4">
        <f t="shared" si="1"/>
        <v>7.7</v>
      </c>
      <c r="F155" s="4" t="s">
        <v>314</v>
      </c>
      <c r="G155" s="4">
        <f t="shared" si="2"/>
        <v>7.7</v>
      </c>
      <c r="H155" s="4">
        <v>0.0</v>
      </c>
      <c r="I155" s="4" t="s">
        <v>315</v>
      </c>
      <c r="J155" s="4">
        <f t="shared" si="3"/>
        <v>2.17</v>
      </c>
      <c r="K155" s="4" t="s">
        <v>178</v>
      </c>
      <c r="L155" s="4">
        <f t="shared" si="4"/>
        <v>0.84</v>
      </c>
      <c r="M155" s="4" t="s">
        <v>189</v>
      </c>
      <c r="N155" s="4">
        <f t="shared" si="5"/>
        <v>4.69</v>
      </c>
      <c r="O155" s="4">
        <v>0.0</v>
      </c>
      <c r="P155" s="4">
        <f t="shared" si="6"/>
        <v>0</v>
      </c>
      <c r="Q155" s="4">
        <v>29.0</v>
      </c>
      <c r="R155" s="4">
        <v>22.0</v>
      </c>
      <c r="S155" s="4">
        <v>282.0</v>
      </c>
      <c r="T155" s="4">
        <v>748.0</v>
      </c>
      <c r="U155" s="4">
        <v>1630.0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4">
        <v>3.977333714E9</v>
      </c>
      <c r="B156" s="4">
        <v>42464.0</v>
      </c>
      <c r="C156" s="4">
        <v>11943.0</v>
      </c>
      <c r="D156" s="4" t="s">
        <v>316</v>
      </c>
      <c r="E156" s="4">
        <f t="shared" si="1"/>
        <v>7.99</v>
      </c>
      <c r="F156" s="4" t="s">
        <v>316</v>
      </c>
      <c r="G156" s="4">
        <f t="shared" si="2"/>
        <v>7.99</v>
      </c>
      <c r="H156" s="4">
        <v>0.0</v>
      </c>
      <c r="I156" s="4" t="s">
        <v>317</v>
      </c>
      <c r="J156" s="4">
        <f t="shared" si="3"/>
        <v>1.03</v>
      </c>
      <c r="K156" s="4" t="s">
        <v>318</v>
      </c>
      <c r="L156" s="4">
        <f t="shared" si="4"/>
        <v>2.01</v>
      </c>
      <c r="M156" s="4" t="s">
        <v>40</v>
      </c>
      <c r="N156" s="4">
        <f t="shared" si="5"/>
        <v>4.95</v>
      </c>
      <c r="O156" s="4">
        <v>0.0</v>
      </c>
      <c r="P156" s="4">
        <f t="shared" si="6"/>
        <v>0</v>
      </c>
      <c r="Q156" s="4">
        <v>16.0</v>
      </c>
      <c r="R156" s="4">
        <v>43.0</v>
      </c>
      <c r="S156" s="4">
        <v>297.0</v>
      </c>
      <c r="T156" s="4">
        <v>710.0</v>
      </c>
      <c r="U156" s="4">
        <v>1648.0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4">
        <v>3.977333714E9</v>
      </c>
      <c r="B157" s="4">
        <v>42494.0</v>
      </c>
      <c r="C157" s="4">
        <v>12303.0</v>
      </c>
      <c r="D157" s="4" t="s">
        <v>319</v>
      </c>
      <c r="E157" s="4">
        <f t="shared" si="1"/>
        <v>8.23</v>
      </c>
      <c r="F157" s="4" t="s">
        <v>319</v>
      </c>
      <c r="G157" s="4">
        <f t="shared" si="2"/>
        <v>8.23</v>
      </c>
      <c r="H157" s="4">
        <v>0.0</v>
      </c>
      <c r="I157" s="4" t="s">
        <v>320</v>
      </c>
      <c r="J157" s="4">
        <f t="shared" si="3"/>
        <v>1.71</v>
      </c>
      <c r="K157" s="4" t="s">
        <v>321</v>
      </c>
      <c r="L157" s="4">
        <f t="shared" si="4"/>
        <v>1.35</v>
      </c>
      <c r="M157" s="4" t="s">
        <v>322</v>
      </c>
      <c r="N157" s="4">
        <f t="shared" si="5"/>
        <v>5.17</v>
      </c>
      <c r="O157" s="4">
        <v>0.0</v>
      </c>
      <c r="P157" s="4">
        <f t="shared" si="6"/>
        <v>0</v>
      </c>
      <c r="Q157" s="4">
        <v>26.0</v>
      </c>
      <c r="R157" s="4">
        <v>32.0</v>
      </c>
      <c r="S157" s="4">
        <v>291.0</v>
      </c>
      <c r="T157" s="4">
        <v>605.0</v>
      </c>
      <c r="U157" s="4">
        <v>1649.0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4">
        <v>3.977333714E9</v>
      </c>
      <c r="B158" s="4">
        <v>42525.0</v>
      </c>
      <c r="C158" s="4">
        <v>15425.0</v>
      </c>
      <c r="D158" s="4" t="s">
        <v>323</v>
      </c>
      <c r="E158" s="4">
        <f t="shared" si="1"/>
        <v>10.32</v>
      </c>
      <c r="F158" s="4" t="s">
        <v>323</v>
      </c>
      <c r="G158" s="4">
        <f t="shared" si="2"/>
        <v>10.32</v>
      </c>
      <c r="H158" s="4">
        <v>0.0</v>
      </c>
      <c r="I158" s="4" t="s">
        <v>213</v>
      </c>
      <c r="J158" s="4">
        <f t="shared" si="3"/>
        <v>1.62</v>
      </c>
      <c r="K158" s="4" t="s">
        <v>260</v>
      </c>
      <c r="L158" s="4">
        <f t="shared" si="4"/>
        <v>1.82</v>
      </c>
      <c r="M158" s="4" t="s">
        <v>324</v>
      </c>
      <c r="N158" s="4">
        <f t="shared" si="5"/>
        <v>6.87</v>
      </c>
      <c r="O158" s="4">
        <v>0.0</v>
      </c>
      <c r="P158" s="4">
        <f t="shared" si="6"/>
        <v>0</v>
      </c>
      <c r="Q158" s="4">
        <v>24.0</v>
      </c>
      <c r="R158" s="4">
        <v>45.0</v>
      </c>
      <c r="S158" s="4">
        <v>331.0</v>
      </c>
      <c r="T158" s="4">
        <v>614.0</v>
      </c>
      <c r="U158" s="4">
        <v>1783.0</v>
      </c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4">
        <v>3.977333714E9</v>
      </c>
      <c r="B159" s="4">
        <v>42555.0</v>
      </c>
      <c r="C159" s="4">
        <v>8422.0</v>
      </c>
      <c r="D159" s="4" t="s">
        <v>325</v>
      </c>
      <c r="E159" s="4">
        <f t="shared" si="1"/>
        <v>5.63</v>
      </c>
      <c r="F159" s="4" t="s">
        <v>325</v>
      </c>
      <c r="G159" s="4">
        <f t="shared" si="2"/>
        <v>5.63</v>
      </c>
      <c r="H159" s="4">
        <v>0.0</v>
      </c>
      <c r="I159" s="4">
        <v>0.0</v>
      </c>
      <c r="J159" s="4">
        <f t="shared" si="3"/>
        <v>0</v>
      </c>
      <c r="K159" s="4" t="s">
        <v>326</v>
      </c>
      <c r="L159" s="4">
        <f t="shared" si="4"/>
        <v>3.6</v>
      </c>
      <c r="M159" s="4" t="s">
        <v>80</v>
      </c>
      <c r="N159" s="4">
        <f t="shared" si="5"/>
        <v>2.04</v>
      </c>
      <c r="O159" s="4">
        <v>0.0</v>
      </c>
      <c r="P159" s="4">
        <f t="shared" si="6"/>
        <v>0</v>
      </c>
      <c r="Q159" s="4">
        <v>0.0</v>
      </c>
      <c r="R159" s="4">
        <v>81.0</v>
      </c>
      <c r="S159" s="4">
        <v>139.0</v>
      </c>
      <c r="T159" s="4">
        <v>815.0</v>
      </c>
      <c r="U159" s="4">
        <v>1431.0</v>
      </c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4">
        <v>3.977333714E9</v>
      </c>
      <c r="B160" s="4">
        <v>42586.0</v>
      </c>
      <c r="C160" s="4">
        <v>10226.0</v>
      </c>
      <c r="D160" s="4" t="s">
        <v>327</v>
      </c>
      <c r="E160" s="4">
        <f t="shared" si="1"/>
        <v>6.84</v>
      </c>
      <c r="F160" s="4" t="s">
        <v>327</v>
      </c>
      <c r="G160" s="4">
        <f t="shared" si="2"/>
        <v>6.84</v>
      </c>
      <c r="H160" s="4">
        <v>0.0</v>
      </c>
      <c r="I160" s="4">
        <v>0.0</v>
      </c>
      <c r="J160" s="4">
        <f t="shared" si="3"/>
        <v>0</v>
      </c>
      <c r="K160" s="4" t="s">
        <v>328</v>
      </c>
      <c r="L160" s="4">
        <f t="shared" si="4"/>
        <v>4.44</v>
      </c>
      <c r="M160" s="4" t="s">
        <v>329</v>
      </c>
      <c r="N160" s="4">
        <f t="shared" si="5"/>
        <v>2.4</v>
      </c>
      <c r="O160" s="4">
        <v>0.0</v>
      </c>
      <c r="P160" s="4">
        <f t="shared" si="6"/>
        <v>0</v>
      </c>
      <c r="Q160" s="4">
        <v>0.0</v>
      </c>
      <c r="R160" s="4">
        <v>101.0</v>
      </c>
      <c r="S160" s="4">
        <v>174.0</v>
      </c>
      <c r="T160" s="4">
        <v>685.0</v>
      </c>
      <c r="U160" s="4">
        <v>1524.0</v>
      </c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4">
        <v>3.977333714E9</v>
      </c>
      <c r="B161" s="4">
        <v>42617.0</v>
      </c>
      <c r="C161" s="4">
        <v>14583.0</v>
      </c>
      <c r="D161" s="4" t="s">
        <v>330</v>
      </c>
      <c r="E161" s="4">
        <f t="shared" si="1"/>
        <v>9.76</v>
      </c>
      <c r="F161" s="4" t="s">
        <v>330</v>
      </c>
      <c r="G161" s="4">
        <f t="shared" si="2"/>
        <v>9.76</v>
      </c>
      <c r="H161" s="4">
        <v>0.0</v>
      </c>
      <c r="I161" s="4" t="s">
        <v>94</v>
      </c>
      <c r="J161" s="4">
        <f t="shared" si="3"/>
        <v>2.48</v>
      </c>
      <c r="K161" s="4" t="s">
        <v>331</v>
      </c>
      <c r="L161" s="4">
        <f t="shared" si="4"/>
        <v>1.74</v>
      </c>
      <c r="M161" s="4" t="s">
        <v>332</v>
      </c>
      <c r="N161" s="4">
        <f t="shared" si="5"/>
        <v>5.53</v>
      </c>
      <c r="O161" s="4">
        <v>0.0</v>
      </c>
      <c r="P161" s="4">
        <f t="shared" si="6"/>
        <v>0</v>
      </c>
      <c r="Q161" s="4">
        <v>35.0</v>
      </c>
      <c r="R161" s="4">
        <v>36.0</v>
      </c>
      <c r="S161" s="4">
        <v>254.0</v>
      </c>
      <c r="T161" s="4">
        <v>697.0</v>
      </c>
      <c r="U161" s="4">
        <v>1697.0</v>
      </c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4">
        <v>3.977333714E9</v>
      </c>
      <c r="B162" s="4">
        <v>42647.0</v>
      </c>
      <c r="C162" s="4">
        <v>3573.0</v>
      </c>
      <c r="D162" s="4" t="s">
        <v>333</v>
      </c>
      <c r="E162" s="4">
        <f t="shared" si="1"/>
        <v>2.39</v>
      </c>
      <c r="F162" s="4" t="s">
        <v>333</v>
      </c>
      <c r="G162" s="4">
        <f t="shared" si="2"/>
        <v>2.39</v>
      </c>
      <c r="H162" s="4">
        <v>0.0</v>
      </c>
      <c r="I162" s="4" t="s">
        <v>334</v>
      </c>
      <c r="J162" s="4">
        <f t="shared" si="3"/>
        <v>0.94</v>
      </c>
      <c r="K162" s="4" t="s">
        <v>283</v>
      </c>
      <c r="L162" s="4">
        <f t="shared" si="4"/>
        <v>0.41</v>
      </c>
      <c r="M162" s="4" t="s">
        <v>157</v>
      </c>
      <c r="N162" s="4">
        <f t="shared" si="5"/>
        <v>0.97</v>
      </c>
      <c r="O162" s="4">
        <v>0.0</v>
      </c>
      <c r="P162" s="4">
        <f t="shared" si="6"/>
        <v>0</v>
      </c>
      <c r="Q162" s="4">
        <v>15.0</v>
      </c>
      <c r="R162" s="4">
        <v>8.0</v>
      </c>
      <c r="S162" s="4">
        <v>99.0</v>
      </c>
      <c r="T162" s="4">
        <v>866.0</v>
      </c>
      <c r="U162" s="4">
        <v>1232.0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4">
        <v>3.977333714E9</v>
      </c>
      <c r="B163" s="4">
        <v>42678.0</v>
      </c>
      <c r="C163" s="4">
        <v>3108.0</v>
      </c>
      <c r="D163" s="4" t="s">
        <v>335</v>
      </c>
      <c r="E163" s="4">
        <f t="shared" si="1"/>
        <v>2.14</v>
      </c>
      <c r="F163" s="4" t="s">
        <v>335</v>
      </c>
      <c r="G163" s="4">
        <f t="shared" si="2"/>
        <v>2.14</v>
      </c>
      <c r="H163" s="4">
        <v>0.0</v>
      </c>
      <c r="I163" s="4" t="s">
        <v>336</v>
      </c>
      <c r="J163" s="4">
        <f t="shared" si="3"/>
        <v>0.07</v>
      </c>
      <c r="K163" s="4" t="s">
        <v>285</v>
      </c>
      <c r="L163" s="4">
        <f t="shared" si="4"/>
        <v>0.04</v>
      </c>
      <c r="M163" s="4" t="s">
        <v>337</v>
      </c>
      <c r="N163" s="4">
        <f t="shared" si="5"/>
        <v>1.96</v>
      </c>
      <c r="O163" s="4">
        <v>0.0</v>
      </c>
      <c r="P163" s="4">
        <f t="shared" si="6"/>
        <v>0</v>
      </c>
      <c r="Q163" s="4">
        <v>1.0</v>
      </c>
      <c r="R163" s="4">
        <v>1.0</v>
      </c>
      <c r="S163" s="4">
        <v>129.0</v>
      </c>
      <c r="T163" s="4">
        <v>894.0</v>
      </c>
      <c r="U163" s="4">
        <v>1223.0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4">
        <v>3.977333714E9</v>
      </c>
      <c r="B164" s="4">
        <v>42708.0</v>
      </c>
      <c r="C164" s="4">
        <v>759.0</v>
      </c>
      <c r="D164" s="4" t="s">
        <v>96</v>
      </c>
      <c r="E164" s="4">
        <f t="shared" si="1"/>
        <v>0.57</v>
      </c>
      <c r="F164" s="4" t="s">
        <v>96</v>
      </c>
      <c r="G164" s="4">
        <f t="shared" si="2"/>
        <v>0.57</v>
      </c>
      <c r="H164" s="4">
        <v>0.0</v>
      </c>
      <c r="I164" s="4">
        <v>0.0</v>
      </c>
      <c r="J164" s="4">
        <f t="shared" si="3"/>
        <v>0</v>
      </c>
      <c r="K164" s="4">
        <v>0.0</v>
      </c>
      <c r="L164" s="4">
        <f t="shared" si="4"/>
        <v>0</v>
      </c>
      <c r="M164" s="4" t="s">
        <v>96</v>
      </c>
      <c r="N164" s="4">
        <f t="shared" si="5"/>
        <v>0.57</v>
      </c>
      <c r="O164" s="4">
        <v>0.0</v>
      </c>
      <c r="P164" s="4">
        <f t="shared" si="6"/>
        <v>0</v>
      </c>
      <c r="Q164" s="4">
        <v>0.0</v>
      </c>
      <c r="R164" s="4">
        <v>0.0</v>
      </c>
      <c r="S164" s="4">
        <v>17.0</v>
      </c>
      <c r="T164" s="4">
        <v>187.0</v>
      </c>
      <c r="U164" s="4">
        <v>182.0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4">
        <v>4.02033265E9</v>
      </c>
      <c r="B165" s="4">
        <v>42707.0</v>
      </c>
      <c r="C165" s="4">
        <v>5543.0</v>
      </c>
      <c r="D165" s="4" t="s">
        <v>338</v>
      </c>
      <c r="E165" s="4">
        <f t="shared" si="1"/>
        <v>3.97</v>
      </c>
      <c r="F165" s="4" t="s">
        <v>338</v>
      </c>
      <c r="G165" s="4">
        <f t="shared" si="2"/>
        <v>3.97</v>
      </c>
      <c r="H165" s="4">
        <v>0.0</v>
      </c>
      <c r="I165" s="4">
        <v>0.0</v>
      </c>
      <c r="J165" s="4">
        <f t="shared" si="3"/>
        <v>0</v>
      </c>
      <c r="K165" s="4">
        <v>0.0</v>
      </c>
      <c r="L165" s="4">
        <f t="shared" si="4"/>
        <v>0</v>
      </c>
      <c r="M165" s="4" t="s">
        <v>339</v>
      </c>
      <c r="N165" s="4">
        <f t="shared" si="5"/>
        <v>3.96</v>
      </c>
      <c r="O165" s="4" t="s">
        <v>102</v>
      </c>
      <c r="P165" s="4">
        <f t="shared" si="6"/>
        <v>0.01</v>
      </c>
      <c r="Q165" s="4">
        <v>0.0</v>
      </c>
      <c r="R165" s="4">
        <v>0.0</v>
      </c>
      <c r="S165" s="4">
        <v>254.0</v>
      </c>
      <c r="T165" s="4">
        <v>757.0</v>
      </c>
      <c r="U165" s="4">
        <v>2990.0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4">
        <v>4.02033265E9</v>
      </c>
      <c r="B166" s="4" t="s">
        <v>340</v>
      </c>
      <c r="C166" s="4">
        <v>3226.0</v>
      </c>
      <c r="D166" s="4" t="s">
        <v>341</v>
      </c>
      <c r="E166" s="4">
        <f t="shared" si="1"/>
        <v>2.31</v>
      </c>
      <c r="F166" s="4" t="s">
        <v>341</v>
      </c>
      <c r="G166" s="4">
        <f t="shared" si="2"/>
        <v>2.31</v>
      </c>
      <c r="H166" s="4">
        <v>0.0</v>
      </c>
      <c r="I166" s="4">
        <v>0.0</v>
      </c>
      <c r="J166" s="4">
        <f t="shared" si="3"/>
        <v>0</v>
      </c>
      <c r="K166" s="4">
        <v>0.0</v>
      </c>
      <c r="L166" s="4">
        <f t="shared" si="4"/>
        <v>0</v>
      </c>
      <c r="M166" s="4" t="s">
        <v>342</v>
      </c>
      <c r="N166" s="4">
        <f t="shared" si="5"/>
        <v>2.28</v>
      </c>
      <c r="O166" s="4">
        <v>0.0</v>
      </c>
      <c r="P166" s="4">
        <f t="shared" si="6"/>
        <v>0</v>
      </c>
      <c r="Q166" s="4">
        <v>0.0</v>
      </c>
      <c r="R166" s="4">
        <v>0.0</v>
      </c>
      <c r="S166" s="4">
        <v>136.0</v>
      </c>
      <c r="T166" s="4">
        <v>771.0</v>
      </c>
      <c r="U166" s="4">
        <v>2480.0</v>
      </c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4">
        <v>4.02033265E9</v>
      </c>
      <c r="B167" s="4" t="s">
        <v>343</v>
      </c>
      <c r="C167" s="4">
        <v>3023.0</v>
      </c>
      <c r="D167" s="4" t="s">
        <v>315</v>
      </c>
      <c r="E167" s="4">
        <f t="shared" si="1"/>
        <v>2.17</v>
      </c>
      <c r="F167" s="4" t="s">
        <v>315</v>
      </c>
      <c r="G167" s="4">
        <f t="shared" si="2"/>
        <v>2.17</v>
      </c>
      <c r="H167" s="4">
        <v>0.0</v>
      </c>
      <c r="I167" s="4">
        <v>0.0</v>
      </c>
      <c r="J167" s="4">
        <f t="shared" si="3"/>
        <v>0</v>
      </c>
      <c r="K167" s="4">
        <v>0.0</v>
      </c>
      <c r="L167" s="4">
        <f t="shared" si="4"/>
        <v>0</v>
      </c>
      <c r="M167" s="4" t="s">
        <v>335</v>
      </c>
      <c r="N167" s="4">
        <f t="shared" si="5"/>
        <v>2.14</v>
      </c>
      <c r="O167" s="4">
        <v>0.0</v>
      </c>
      <c r="P167" s="4">
        <f t="shared" si="6"/>
        <v>0</v>
      </c>
      <c r="Q167" s="4">
        <v>0.0</v>
      </c>
      <c r="R167" s="4">
        <v>0.0</v>
      </c>
      <c r="S167" s="4">
        <v>145.0</v>
      </c>
      <c r="T167" s="4">
        <v>1005.0</v>
      </c>
      <c r="U167" s="4">
        <v>2570.0</v>
      </c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4">
        <v>4.02033265E9</v>
      </c>
      <c r="B168" s="4" t="s">
        <v>344</v>
      </c>
      <c r="C168" s="4">
        <v>5906.0</v>
      </c>
      <c r="D168" s="4" t="s">
        <v>345</v>
      </c>
      <c r="E168" s="4">
        <f t="shared" si="1"/>
        <v>4.23</v>
      </c>
      <c r="F168" s="4" t="s">
        <v>345</v>
      </c>
      <c r="G168" s="4">
        <f t="shared" si="2"/>
        <v>4.23</v>
      </c>
      <c r="H168" s="4">
        <v>0.0</v>
      </c>
      <c r="I168" s="4">
        <v>0.0</v>
      </c>
      <c r="J168" s="4">
        <f t="shared" si="3"/>
        <v>0</v>
      </c>
      <c r="K168" s="4" t="s">
        <v>34</v>
      </c>
      <c r="L168" s="4">
        <f t="shared" si="4"/>
        <v>0.16</v>
      </c>
      <c r="M168" s="4" t="s">
        <v>346</v>
      </c>
      <c r="N168" s="4">
        <f t="shared" si="5"/>
        <v>4.04</v>
      </c>
      <c r="O168" s="4">
        <v>0.0</v>
      </c>
      <c r="P168" s="4">
        <f t="shared" si="6"/>
        <v>0</v>
      </c>
      <c r="Q168" s="4">
        <v>0.0</v>
      </c>
      <c r="R168" s="4">
        <v>10.0</v>
      </c>
      <c r="S168" s="4">
        <v>215.0</v>
      </c>
      <c r="T168" s="4">
        <v>874.0</v>
      </c>
      <c r="U168" s="4">
        <v>3016.0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4">
        <v>4.02033265E9</v>
      </c>
      <c r="B169" s="4" t="s">
        <v>347</v>
      </c>
      <c r="C169" s="4">
        <v>12483.0</v>
      </c>
      <c r="D169" s="4" t="s">
        <v>348</v>
      </c>
      <c r="E169" s="4">
        <f t="shared" si="1"/>
        <v>8.99</v>
      </c>
      <c r="F169" s="4" t="s">
        <v>348</v>
      </c>
      <c r="G169" s="4">
        <f t="shared" si="2"/>
        <v>8.99</v>
      </c>
      <c r="H169" s="4">
        <v>0.0</v>
      </c>
      <c r="I169" s="4" t="s">
        <v>349</v>
      </c>
      <c r="J169" s="4">
        <f t="shared" si="3"/>
        <v>1.45</v>
      </c>
      <c r="K169" s="4" t="s">
        <v>96</v>
      </c>
      <c r="L169" s="4">
        <f t="shared" si="4"/>
        <v>0.57</v>
      </c>
      <c r="M169" s="4" t="s">
        <v>350</v>
      </c>
      <c r="N169" s="4">
        <f t="shared" si="5"/>
        <v>6.9</v>
      </c>
      <c r="O169" s="4">
        <v>0.0</v>
      </c>
      <c r="P169" s="4">
        <f t="shared" si="6"/>
        <v>0</v>
      </c>
      <c r="Q169" s="4">
        <v>25.0</v>
      </c>
      <c r="R169" s="4">
        <v>14.0</v>
      </c>
      <c r="S169" s="4">
        <v>309.0</v>
      </c>
      <c r="T169" s="4">
        <v>599.0</v>
      </c>
      <c r="U169" s="4">
        <v>3830.0</v>
      </c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4">
        <v>4.02033265E9</v>
      </c>
      <c r="B170" s="4" t="s">
        <v>351</v>
      </c>
      <c r="C170" s="4">
        <v>8940.0</v>
      </c>
      <c r="D170" s="4" t="s">
        <v>352</v>
      </c>
      <c r="E170" s="4">
        <f t="shared" si="1"/>
        <v>6.41</v>
      </c>
      <c r="F170" s="4" t="s">
        <v>352</v>
      </c>
      <c r="G170" s="4">
        <f t="shared" si="2"/>
        <v>6.41</v>
      </c>
      <c r="H170" s="4">
        <v>0.0</v>
      </c>
      <c r="I170" s="4">
        <v>0.0</v>
      </c>
      <c r="J170" s="4">
        <f t="shared" si="3"/>
        <v>0</v>
      </c>
      <c r="K170" s="4">
        <v>0.0</v>
      </c>
      <c r="L170" s="4">
        <f t="shared" si="4"/>
        <v>0</v>
      </c>
      <c r="M170" s="4" t="s">
        <v>159</v>
      </c>
      <c r="N170" s="4">
        <f t="shared" si="5"/>
        <v>0.61</v>
      </c>
      <c r="O170" s="4" t="s">
        <v>285</v>
      </c>
      <c r="P170" s="4">
        <f t="shared" si="6"/>
        <v>0.04</v>
      </c>
      <c r="Q170" s="4">
        <v>0.0</v>
      </c>
      <c r="R170" s="4">
        <v>0.0</v>
      </c>
      <c r="S170" s="4">
        <v>47.0</v>
      </c>
      <c r="T170" s="4">
        <v>986.0</v>
      </c>
      <c r="U170" s="4">
        <v>3706.0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4">
        <v>4.02033265E9</v>
      </c>
      <c r="B171" s="4" t="s">
        <v>353</v>
      </c>
      <c r="C171" s="4">
        <v>368.0</v>
      </c>
      <c r="D171" s="4" t="s">
        <v>354</v>
      </c>
      <c r="E171" s="4">
        <f t="shared" si="1"/>
        <v>0.26</v>
      </c>
      <c r="F171" s="4" t="s">
        <v>354</v>
      </c>
      <c r="G171" s="4">
        <f t="shared" si="2"/>
        <v>0.26</v>
      </c>
      <c r="H171" s="4">
        <v>0.0</v>
      </c>
      <c r="I171" s="4">
        <v>0.0</v>
      </c>
      <c r="J171" s="4">
        <f t="shared" si="3"/>
        <v>0</v>
      </c>
      <c r="K171" s="4">
        <v>0.0</v>
      </c>
      <c r="L171" s="4">
        <f t="shared" si="4"/>
        <v>0</v>
      </c>
      <c r="M171" s="4">
        <v>0.0</v>
      </c>
      <c r="N171" s="4">
        <f t="shared" si="5"/>
        <v>0</v>
      </c>
      <c r="O171" s="4">
        <v>0.0</v>
      </c>
      <c r="P171" s="4">
        <f t="shared" si="6"/>
        <v>0</v>
      </c>
      <c r="Q171" s="4">
        <v>0.0</v>
      </c>
      <c r="R171" s="4">
        <v>0.0</v>
      </c>
      <c r="S171" s="4">
        <v>0.0</v>
      </c>
      <c r="T171" s="4">
        <v>1440.0</v>
      </c>
      <c r="U171" s="4">
        <v>2024.0</v>
      </c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4">
        <v>4.02033265E9</v>
      </c>
      <c r="B172" s="4" t="s">
        <v>355</v>
      </c>
      <c r="C172" s="4">
        <v>5702.0</v>
      </c>
      <c r="D172" s="4" t="s">
        <v>356</v>
      </c>
      <c r="E172" s="4">
        <f t="shared" si="1"/>
        <v>4.09</v>
      </c>
      <c r="F172" s="4" t="s">
        <v>356</v>
      </c>
      <c r="G172" s="4">
        <f t="shared" si="2"/>
        <v>4.09</v>
      </c>
      <c r="H172" s="4">
        <v>0.0</v>
      </c>
      <c r="I172" s="4">
        <v>0.0</v>
      </c>
      <c r="J172" s="4">
        <f t="shared" si="3"/>
        <v>0</v>
      </c>
      <c r="K172" s="4">
        <v>0.0</v>
      </c>
      <c r="L172" s="4">
        <f t="shared" si="4"/>
        <v>0</v>
      </c>
      <c r="M172" s="4">
        <v>0.0</v>
      </c>
      <c r="N172" s="4">
        <f t="shared" si="5"/>
        <v>0</v>
      </c>
      <c r="O172" s="4">
        <v>0.0</v>
      </c>
      <c r="P172" s="4">
        <f t="shared" si="6"/>
        <v>0</v>
      </c>
      <c r="Q172" s="4">
        <v>0.0</v>
      </c>
      <c r="R172" s="4">
        <v>0.0</v>
      </c>
      <c r="S172" s="4">
        <v>0.0</v>
      </c>
      <c r="T172" s="4">
        <v>1440.0</v>
      </c>
      <c r="U172" s="4">
        <v>2980.0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4">
        <v>4.02033265E9</v>
      </c>
      <c r="B173" s="4" t="s">
        <v>357</v>
      </c>
      <c r="C173" s="4">
        <v>10330.0</v>
      </c>
      <c r="D173" s="4" t="s">
        <v>358</v>
      </c>
      <c r="E173" s="4">
        <f t="shared" si="1"/>
        <v>7.41</v>
      </c>
      <c r="F173" s="4" t="s">
        <v>358</v>
      </c>
      <c r="G173" s="4">
        <f t="shared" si="2"/>
        <v>7.41</v>
      </c>
      <c r="H173" s="4">
        <v>0.0</v>
      </c>
      <c r="I173" s="4">
        <v>0.0</v>
      </c>
      <c r="J173" s="4">
        <f t="shared" si="3"/>
        <v>0</v>
      </c>
      <c r="K173" s="4">
        <v>0.0</v>
      </c>
      <c r="L173" s="4">
        <f t="shared" si="4"/>
        <v>0</v>
      </c>
      <c r="M173" s="4">
        <v>0.0</v>
      </c>
      <c r="N173" s="4">
        <f t="shared" si="5"/>
        <v>0</v>
      </c>
      <c r="O173" s="4">
        <v>0.0</v>
      </c>
      <c r="P173" s="4">
        <f t="shared" si="6"/>
        <v>0</v>
      </c>
      <c r="Q173" s="4">
        <v>0.0</v>
      </c>
      <c r="R173" s="4">
        <v>0.0</v>
      </c>
      <c r="S173" s="4">
        <v>0.0</v>
      </c>
      <c r="T173" s="4">
        <v>1440.0</v>
      </c>
      <c r="U173" s="4">
        <v>3728.0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4">
        <v>4.02033265E9</v>
      </c>
      <c r="B174" s="4" t="s">
        <v>359</v>
      </c>
      <c r="C174" s="4">
        <v>8778.0</v>
      </c>
      <c r="D174" s="4" t="s">
        <v>360</v>
      </c>
      <c r="E174" s="4">
        <f t="shared" si="1"/>
        <v>6.29</v>
      </c>
      <c r="F174" s="4" t="s">
        <v>360</v>
      </c>
      <c r="G174" s="4">
        <f t="shared" si="2"/>
        <v>6.29</v>
      </c>
      <c r="H174" s="4">
        <v>0.0</v>
      </c>
      <c r="I174" s="4">
        <v>0.0</v>
      </c>
      <c r="J174" s="4">
        <f t="shared" si="3"/>
        <v>0</v>
      </c>
      <c r="K174" s="4">
        <v>0.0</v>
      </c>
      <c r="L174" s="4">
        <f t="shared" si="4"/>
        <v>0</v>
      </c>
      <c r="M174" s="4">
        <v>0.0</v>
      </c>
      <c r="N174" s="4">
        <f t="shared" si="5"/>
        <v>0</v>
      </c>
      <c r="O174" s="4">
        <v>0.0</v>
      </c>
      <c r="P174" s="4">
        <f t="shared" si="6"/>
        <v>0</v>
      </c>
      <c r="Q174" s="4">
        <v>0.0</v>
      </c>
      <c r="R174" s="4">
        <v>0.0</v>
      </c>
      <c r="S174" s="4">
        <v>0.0</v>
      </c>
      <c r="T174" s="4">
        <v>1440.0</v>
      </c>
      <c r="U174" s="4">
        <v>3348.0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4">
        <v>4.02033265E9</v>
      </c>
      <c r="B175" s="4" t="s">
        <v>361</v>
      </c>
      <c r="C175" s="4">
        <v>6662.0</v>
      </c>
      <c r="D175" s="4" t="s">
        <v>362</v>
      </c>
      <c r="E175" s="4">
        <f t="shared" si="1"/>
        <v>4.78</v>
      </c>
      <c r="F175" s="4" t="s">
        <v>362</v>
      </c>
      <c r="G175" s="4">
        <f t="shared" si="2"/>
        <v>4.78</v>
      </c>
      <c r="H175" s="4">
        <v>0.0</v>
      </c>
      <c r="I175" s="4">
        <v>0.0</v>
      </c>
      <c r="J175" s="4">
        <f t="shared" si="3"/>
        <v>0</v>
      </c>
      <c r="K175" s="4">
        <v>0.0</v>
      </c>
      <c r="L175" s="4">
        <f t="shared" si="4"/>
        <v>0</v>
      </c>
      <c r="M175" s="4">
        <v>0.0</v>
      </c>
      <c r="N175" s="4">
        <f t="shared" si="5"/>
        <v>0</v>
      </c>
      <c r="O175" s="4">
        <v>0.0</v>
      </c>
      <c r="P175" s="4">
        <f t="shared" si="6"/>
        <v>0</v>
      </c>
      <c r="Q175" s="4">
        <v>0.0</v>
      </c>
      <c r="R175" s="4">
        <v>0.0</v>
      </c>
      <c r="S175" s="4">
        <v>0.0</v>
      </c>
      <c r="T175" s="4">
        <v>1440.0</v>
      </c>
      <c r="U175" s="4">
        <v>3162.0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4">
        <v>4.02033265E9</v>
      </c>
      <c r="B176" s="4" t="s">
        <v>363</v>
      </c>
      <c r="C176" s="4">
        <v>6309.0</v>
      </c>
      <c r="D176" s="4" t="s">
        <v>364</v>
      </c>
      <c r="E176" s="4">
        <f t="shared" si="1"/>
        <v>4.52</v>
      </c>
      <c r="F176" s="4" t="s">
        <v>364</v>
      </c>
      <c r="G176" s="4">
        <f t="shared" si="2"/>
        <v>4.52</v>
      </c>
      <c r="H176" s="4">
        <v>0.0</v>
      </c>
      <c r="I176" s="4">
        <v>0.0</v>
      </c>
      <c r="J176" s="4">
        <f t="shared" si="3"/>
        <v>0</v>
      </c>
      <c r="K176" s="4">
        <v>0.0</v>
      </c>
      <c r="L176" s="4">
        <f t="shared" si="4"/>
        <v>0</v>
      </c>
      <c r="M176" s="4">
        <v>0.0</v>
      </c>
      <c r="N176" s="4">
        <f t="shared" si="5"/>
        <v>0</v>
      </c>
      <c r="O176" s="4">
        <v>0.0</v>
      </c>
      <c r="P176" s="4">
        <f t="shared" si="6"/>
        <v>0</v>
      </c>
      <c r="Q176" s="4">
        <v>0.0</v>
      </c>
      <c r="R176" s="4">
        <v>0.0</v>
      </c>
      <c r="S176" s="4">
        <v>0.0</v>
      </c>
      <c r="T176" s="4">
        <v>1440.0</v>
      </c>
      <c r="U176" s="4">
        <v>3140.0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4">
        <v>4.02033265E9</v>
      </c>
      <c r="B177" s="4" t="s">
        <v>365</v>
      </c>
      <c r="C177" s="4">
        <v>1951.0</v>
      </c>
      <c r="D177" s="4" t="s">
        <v>230</v>
      </c>
      <c r="E177" s="4">
        <f t="shared" si="1"/>
        <v>1.41</v>
      </c>
      <c r="F177" s="4" t="s">
        <v>230</v>
      </c>
      <c r="G177" s="4">
        <f t="shared" si="2"/>
        <v>1.41</v>
      </c>
      <c r="H177" s="4">
        <v>0.0</v>
      </c>
      <c r="I177" s="4">
        <v>0.0</v>
      </c>
      <c r="J177" s="4">
        <f t="shared" si="3"/>
        <v>0</v>
      </c>
      <c r="K177" s="4">
        <v>0.0</v>
      </c>
      <c r="L177" s="4">
        <f t="shared" si="4"/>
        <v>0</v>
      </c>
      <c r="M177" s="4">
        <v>0.0</v>
      </c>
      <c r="N177" s="4">
        <f t="shared" si="5"/>
        <v>0</v>
      </c>
      <c r="O177" s="4">
        <v>0.0</v>
      </c>
      <c r="P177" s="4">
        <f t="shared" si="6"/>
        <v>0</v>
      </c>
      <c r="Q177" s="4">
        <v>0.0</v>
      </c>
      <c r="R177" s="4">
        <v>0.0</v>
      </c>
      <c r="S177" s="4">
        <v>0.0</v>
      </c>
      <c r="T177" s="4">
        <v>1440.0</v>
      </c>
      <c r="U177" s="4">
        <v>1980.0</v>
      </c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4">
        <v>4.02033265E9</v>
      </c>
      <c r="B178" s="4" t="s">
        <v>21</v>
      </c>
      <c r="C178" s="4">
        <v>5563.0</v>
      </c>
      <c r="D178" s="4" t="s">
        <v>366</v>
      </c>
      <c r="E178" s="4">
        <f t="shared" si="1"/>
        <v>3.99</v>
      </c>
      <c r="F178" s="4" t="s">
        <v>366</v>
      </c>
      <c r="G178" s="4">
        <f t="shared" si="2"/>
        <v>3.99</v>
      </c>
      <c r="H178" s="4">
        <v>0.0</v>
      </c>
      <c r="I178" s="4">
        <v>0.0</v>
      </c>
      <c r="J178" s="4">
        <f t="shared" si="3"/>
        <v>0</v>
      </c>
      <c r="K178" s="4">
        <v>0.0</v>
      </c>
      <c r="L178" s="4">
        <f t="shared" si="4"/>
        <v>0</v>
      </c>
      <c r="M178" s="4">
        <v>0.0</v>
      </c>
      <c r="N178" s="4">
        <f t="shared" si="5"/>
        <v>0</v>
      </c>
      <c r="O178" s="4">
        <v>0.0</v>
      </c>
      <c r="P178" s="4">
        <f t="shared" si="6"/>
        <v>0</v>
      </c>
      <c r="Q178" s="4">
        <v>0.0</v>
      </c>
      <c r="R178" s="4">
        <v>0.0</v>
      </c>
      <c r="S178" s="4">
        <v>0.0</v>
      </c>
      <c r="T178" s="4">
        <v>1440.0</v>
      </c>
      <c r="U178" s="4">
        <v>3681.0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4">
        <v>4.02033265E9</v>
      </c>
      <c r="B179" s="4" t="s">
        <v>26</v>
      </c>
      <c r="C179" s="4">
        <v>4370.0</v>
      </c>
      <c r="D179" s="4" t="s">
        <v>367</v>
      </c>
      <c r="E179" s="4">
        <f t="shared" si="1"/>
        <v>3.13</v>
      </c>
      <c r="F179" s="4" t="s">
        <v>367</v>
      </c>
      <c r="G179" s="4">
        <f t="shared" si="2"/>
        <v>3.13</v>
      </c>
      <c r="H179" s="4">
        <v>0.0</v>
      </c>
      <c r="I179" s="4">
        <v>0.0</v>
      </c>
      <c r="J179" s="4">
        <f t="shared" si="3"/>
        <v>0</v>
      </c>
      <c r="K179" s="4">
        <v>0.0</v>
      </c>
      <c r="L179" s="4">
        <f t="shared" si="4"/>
        <v>0</v>
      </c>
      <c r="M179" s="4">
        <v>0.0</v>
      </c>
      <c r="N179" s="4">
        <f t="shared" si="5"/>
        <v>0</v>
      </c>
      <c r="O179" s="4">
        <v>0.0</v>
      </c>
      <c r="P179" s="4">
        <f t="shared" si="6"/>
        <v>0</v>
      </c>
      <c r="Q179" s="4">
        <v>0.0</v>
      </c>
      <c r="R179" s="4">
        <v>0.0</v>
      </c>
      <c r="S179" s="4">
        <v>0.0</v>
      </c>
      <c r="T179" s="4">
        <v>1440.0</v>
      </c>
      <c r="U179" s="4">
        <v>3444.0</v>
      </c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4">
        <v>4.02033265E9</v>
      </c>
      <c r="B180" s="4" t="s">
        <v>31</v>
      </c>
      <c r="C180" s="4">
        <v>7144.0</v>
      </c>
      <c r="D180" s="4" t="s">
        <v>368</v>
      </c>
      <c r="E180" s="4">
        <f t="shared" si="1"/>
        <v>5.12</v>
      </c>
      <c r="F180" s="4" t="s">
        <v>368</v>
      </c>
      <c r="G180" s="4">
        <f t="shared" si="2"/>
        <v>5.12</v>
      </c>
      <c r="H180" s="4">
        <v>0.0</v>
      </c>
      <c r="I180" s="4">
        <v>0.0</v>
      </c>
      <c r="J180" s="4">
        <f t="shared" si="3"/>
        <v>0</v>
      </c>
      <c r="K180" s="4">
        <v>0.0</v>
      </c>
      <c r="L180" s="4">
        <f t="shared" si="4"/>
        <v>0</v>
      </c>
      <c r="M180" s="4">
        <v>0.0</v>
      </c>
      <c r="N180" s="4">
        <f t="shared" si="5"/>
        <v>0</v>
      </c>
      <c r="O180" s="4">
        <v>0.0</v>
      </c>
      <c r="P180" s="4">
        <f t="shared" si="6"/>
        <v>0</v>
      </c>
      <c r="Q180" s="4">
        <v>0.0</v>
      </c>
      <c r="R180" s="4">
        <v>0.0</v>
      </c>
      <c r="S180" s="4">
        <v>0.0</v>
      </c>
      <c r="T180" s="4">
        <v>1440.0</v>
      </c>
      <c r="U180" s="4">
        <v>3510.0</v>
      </c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4">
        <v>4.02033265E9</v>
      </c>
      <c r="B181" s="4" t="s">
        <v>36</v>
      </c>
      <c r="C181" s="4">
        <v>2106.0</v>
      </c>
      <c r="D181" s="4" t="s">
        <v>369</v>
      </c>
      <c r="E181" s="4">
        <f t="shared" si="1"/>
        <v>1.51</v>
      </c>
      <c r="F181" s="4" t="s">
        <v>369</v>
      </c>
      <c r="G181" s="4">
        <f t="shared" si="2"/>
        <v>1.51</v>
      </c>
      <c r="H181" s="4">
        <v>0.0</v>
      </c>
      <c r="I181" s="4" t="s">
        <v>179</v>
      </c>
      <c r="J181" s="4">
        <f t="shared" si="3"/>
        <v>0.02</v>
      </c>
      <c r="K181" s="4" t="s">
        <v>370</v>
      </c>
      <c r="L181" s="4">
        <f t="shared" si="4"/>
        <v>0.05</v>
      </c>
      <c r="M181" s="4" t="s">
        <v>149</v>
      </c>
      <c r="N181" s="4">
        <f t="shared" si="5"/>
        <v>0.21</v>
      </c>
      <c r="O181" s="4">
        <v>0.0</v>
      </c>
      <c r="P181" s="4">
        <f t="shared" si="6"/>
        <v>0</v>
      </c>
      <c r="Q181" s="4">
        <v>31.0</v>
      </c>
      <c r="R181" s="4">
        <v>45.0</v>
      </c>
      <c r="S181" s="4">
        <v>75.0</v>
      </c>
      <c r="T181" s="4">
        <v>1289.0</v>
      </c>
      <c r="U181" s="4">
        <v>4010.0</v>
      </c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4">
        <v>4.02033265E9</v>
      </c>
      <c r="B182" s="4" t="s">
        <v>42</v>
      </c>
      <c r="C182" s="4">
        <v>4152.0</v>
      </c>
      <c r="D182" s="4" t="s">
        <v>371</v>
      </c>
      <c r="E182" s="4">
        <f t="shared" si="1"/>
        <v>2.98</v>
      </c>
      <c r="F182" s="4" t="s">
        <v>371</v>
      </c>
      <c r="G182" s="4">
        <f t="shared" si="2"/>
        <v>2.98</v>
      </c>
      <c r="H182" s="4">
        <v>0.0</v>
      </c>
      <c r="I182" s="4">
        <v>0.0</v>
      </c>
      <c r="J182" s="4">
        <f t="shared" si="3"/>
        <v>0</v>
      </c>
      <c r="K182" s="4">
        <v>0.0</v>
      </c>
      <c r="L182" s="4">
        <f t="shared" si="4"/>
        <v>0</v>
      </c>
      <c r="M182" s="4" t="s">
        <v>372</v>
      </c>
      <c r="N182" s="4">
        <f t="shared" si="5"/>
        <v>2.96</v>
      </c>
      <c r="O182" s="4">
        <v>0.0</v>
      </c>
      <c r="P182" s="4">
        <f t="shared" si="6"/>
        <v>0</v>
      </c>
      <c r="Q182" s="4">
        <v>0.0</v>
      </c>
      <c r="R182" s="4">
        <v>0.0</v>
      </c>
      <c r="S182" s="4">
        <v>187.0</v>
      </c>
      <c r="T182" s="4">
        <v>1253.0</v>
      </c>
      <c r="U182" s="4">
        <v>2976.0</v>
      </c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4">
        <v>4.02033265E9</v>
      </c>
      <c r="B183" s="4" t="s">
        <v>48</v>
      </c>
      <c r="C183" s="4">
        <v>5400.0</v>
      </c>
      <c r="D183" s="4" t="s">
        <v>373</v>
      </c>
      <c r="E183" s="4">
        <f t="shared" si="1"/>
        <v>3.87</v>
      </c>
      <c r="F183" s="4" t="s">
        <v>373</v>
      </c>
      <c r="G183" s="4">
        <f t="shared" si="2"/>
        <v>3.87</v>
      </c>
      <c r="H183" s="4">
        <v>0.0</v>
      </c>
      <c r="I183" s="4">
        <v>0.0</v>
      </c>
      <c r="J183" s="4">
        <f t="shared" si="3"/>
        <v>0</v>
      </c>
      <c r="K183" s="4">
        <v>0.0</v>
      </c>
      <c r="L183" s="4">
        <f t="shared" si="4"/>
        <v>0</v>
      </c>
      <c r="M183" s="4" t="s">
        <v>374</v>
      </c>
      <c r="N183" s="4">
        <f t="shared" si="5"/>
        <v>3.85</v>
      </c>
      <c r="O183" s="4">
        <v>0.0</v>
      </c>
      <c r="P183" s="4">
        <f t="shared" si="6"/>
        <v>0</v>
      </c>
      <c r="Q183" s="4">
        <v>0.0</v>
      </c>
      <c r="R183" s="4">
        <v>0.0</v>
      </c>
      <c r="S183" s="4">
        <v>258.0</v>
      </c>
      <c r="T183" s="4">
        <v>795.0</v>
      </c>
      <c r="U183" s="4">
        <v>3418.0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4">
        <v>4.02033265E9</v>
      </c>
      <c r="B184" s="4" t="s">
        <v>54</v>
      </c>
      <c r="C184" s="4">
        <v>7428.0</v>
      </c>
      <c r="D184" s="4" t="s">
        <v>209</v>
      </c>
      <c r="E184" s="4">
        <f t="shared" si="1"/>
        <v>5.33</v>
      </c>
      <c r="F184" s="4" t="s">
        <v>209</v>
      </c>
      <c r="G184" s="4">
        <f t="shared" si="2"/>
        <v>5.33</v>
      </c>
      <c r="H184" s="4">
        <v>0.0</v>
      </c>
      <c r="I184" s="4" t="s">
        <v>115</v>
      </c>
      <c r="J184" s="4">
        <f t="shared" si="3"/>
        <v>0.87</v>
      </c>
      <c r="K184" s="4" t="s">
        <v>375</v>
      </c>
      <c r="L184" s="4">
        <f t="shared" si="4"/>
        <v>0.92</v>
      </c>
      <c r="M184" s="4" t="s">
        <v>163</v>
      </c>
      <c r="N184" s="4">
        <f t="shared" si="5"/>
        <v>3.51</v>
      </c>
      <c r="O184" s="4">
        <v>0.0</v>
      </c>
      <c r="P184" s="4">
        <f t="shared" si="6"/>
        <v>0</v>
      </c>
      <c r="Q184" s="4">
        <v>18.0</v>
      </c>
      <c r="R184" s="4">
        <v>33.0</v>
      </c>
      <c r="S184" s="4">
        <v>261.0</v>
      </c>
      <c r="T184" s="4">
        <v>860.0</v>
      </c>
      <c r="U184" s="4">
        <v>3439.0</v>
      </c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4">
        <v>4.02033265E9</v>
      </c>
      <c r="B185" s="4">
        <v>42373.0</v>
      </c>
      <c r="C185" s="4">
        <v>5351.0</v>
      </c>
      <c r="D185" s="4" t="s">
        <v>183</v>
      </c>
      <c r="E185" s="4">
        <f t="shared" si="1"/>
        <v>3.84</v>
      </c>
      <c r="F185" s="4" t="s">
        <v>183</v>
      </c>
      <c r="G185" s="4">
        <f t="shared" si="2"/>
        <v>3.84</v>
      </c>
      <c r="H185" s="4">
        <v>0.0</v>
      </c>
      <c r="I185" s="4" t="s">
        <v>376</v>
      </c>
      <c r="J185" s="4">
        <f t="shared" si="3"/>
        <v>0.62</v>
      </c>
      <c r="K185" s="4" t="s">
        <v>312</v>
      </c>
      <c r="L185" s="4">
        <f t="shared" si="4"/>
        <v>0.18</v>
      </c>
      <c r="M185" s="4" t="s">
        <v>311</v>
      </c>
      <c r="N185" s="4">
        <f t="shared" si="5"/>
        <v>3.01</v>
      </c>
      <c r="O185" s="4">
        <v>0.0</v>
      </c>
      <c r="P185" s="4">
        <f t="shared" si="6"/>
        <v>0</v>
      </c>
      <c r="Q185" s="4">
        <v>15.0</v>
      </c>
      <c r="R185" s="4">
        <v>17.0</v>
      </c>
      <c r="S185" s="4">
        <v>210.0</v>
      </c>
      <c r="T185" s="4">
        <v>748.0</v>
      </c>
      <c r="U185" s="4">
        <v>3338.0</v>
      </c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4">
        <v>4.02033265E9</v>
      </c>
      <c r="B186" s="4">
        <v>42404.0</v>
      </c>
      <c r="C186" s="4">
        <v>4299.0</v>
      </c>
      <c r="D186" s="4" t="s">
        <v>377</v>
      </c>
      <c r="E186" s="4">
        <f t="shared" si="1"/>
        <v>3.1</v>
      </c>
      <c r="F186" s="4" t="s">
        <v>377</v>
      </c>
      <c r="G186" s="4">
        <f t="shared" si="2"/>
        <v>3.1</v>
      </c>
      <c r="H186" s="4">
        <v>0.0</v>
      </c>
      <c r="I186" s="4" t="s">
        <v>301</v>
      </c>
      <c r="J186" s="4">
        <f t="shared" si="3"/>
        <v>0.09</v>
      </c>
      <c r="K186" s="4" t="s">
        <v>149</v>
      </c>
      <c r="L186" s="4">
        <f t="shared" si="4"/>
        <v>0.21</v>
      </c>
      <c r="M186" s="4" t="s">
        <v>378</v>
      </c>
      <c r="N186" s="4">
        <f t="shared" si="5"/>
        <v>2.74</v>
      </c>
      <c r="O186" s="4" t="s">
        <v>285</v>
      </c>
      <c r="P186" s="4">
        <f t="shared" si="6"/>
        <v>0.04</v>
      </c>
      <c r="Q186" s="4">
        <v>3.0</v>
      </c>
      <c r="R186" s="4">
        <v>15.0</v>
      </c>
      <c r="S186" s="4">
        <v>162.0</v>
      </c>
      <c r="T186" s="4">
        <v>752.0</v>
      </c>
      <c r="U186" s="4">
        <v>2892.0</v>
      </c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4">
        <v>4.02033265E9</v>
      </c>
      <c r="B187" s="4">
        <v>42433.0</v>
      </c>
      <c r="C187" s="4">
        <v>6107.0</v>
      </c>
      <c r="D187" s="4" t="s">
        <v>379</v>
      </c>
      <c r="E187" s="4">
        <f t="shared" si="1"/>
        <v>4.38</v>
      </c>
      <c r="F187" s="4" t="s">
        <v>379</v>
      </c>
      <c r="G187" s="4">
        <f t="shared" si="2"/>
        <v>4.38</v>
      </c>
      <c r="H187" s="4">
        <v>0.0</v>
      </c>
      <c r="I187" s="4">
        <v>0.0</v>
      </c>
      <c r="J187" s="4">
        <f t="shared" si="3"/>
        <v>0</v>
      </c>
      <c r="K187" s="4">
        <v>0.0</v>
      </c>
      <c r="L187" s="4">
        <f t="shared" si="4"/>
        <v>0</v>
      </c>
      <c r="M187" s="4" t="s">
        <v>380</v>
      </c>
      <c r="N187" s="4">
        <f t="shared" si="5"/>
        <v>4.36</v>
      </c>
      <c r="O187" s="4">
        <v>0.0</v>
      </c>
      <c r="P187" s="4">
        <f t="shared" si="6"/>
        <v>0</v>
      </c>
      <c r="Q187" s="4">
        <v>0.0</v>
      </c>
      <c r="R187" s="4">
        <v>0.0</v>
      </c>
      <c r="S187" s="4">
        <v>265.0</v>
      </c>
      <c r="T187" s="4">
        <v>776.0</v>
      </c>
      <c r="U187" s="4">
        <v>3313.0</v>
      </c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4">
        <v>4.02033265E9</v>
      </c>
      <c r="B188" s="4">
        <v>42464.0</v>
      </c>
      <c r="C188" s="4">
        <v>6429.0</v>
      </c>
      <c r="D188" s="4" t="s">
        <v>381</v>
      </c>
      <c r="E188" s="4">
        <f t="shared" si="1"/>
        <v>4.6</v>
      </c>
      <c r="F188" s="4" t="s">
        <v>381</v>
      </c>
      <c r="G188" s="4">
        <f t="shared" si="2"/>
        <v>4.6</v>
      </c>
      <c r="H188" s="4">
        <v>0.0</v>
      </c>
      <c r="I188" s="4">
        <v>0.0</v>
      </c>
      <c r="J188" s="4">
        <f t="shared" si="3"/>
        <v>0</v>
      </c>
      <c r="K188" s="4" t="s">
        <v>382</v>
      </c>
      <c r="L188" s="4">
        <f t="shared" si="4"/>
        <v>0.95</v>
      </c>
      <c r="M188" s="4" t="s">
        <v>383</v>
      </c>
      <c r="N188" s="4">
        <f t="shared" si="5"/>
        <v>3.65</v>
      </c>
      <c r="O188" s="4">
        <v>0.0</v>
      </c>
      <c r="P188" s="4">
        <f t="shared" si="6"/>
        <v>0</v>
      </c>
      <c r="Q188" s="4">
        <v>0.0</v>
      </c>
      <c r="R188" s="4">
        <v>28.0</v>
      </c>
      <c r="S188" s="4">
        <v>193.0</v>
      </c>
      <c r="T188" s="4">
        <v>741.0</v>
      </c>
      <c r="U188" s="4">
        <v>3118.0</v>
      </c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4">
        <v>4.02033265E9</v>
      </c>
      <c r="B189" s="4">
        <v>42494.0</v>
      </c>
      <c r="C189" s="4">
        <v>6880.0</v>
      </c>
      <c r="D189" s="4" t="s">
        <v>384</v>
      </c>
      <c r="E189" s="4">
        <f t="shared" si="1"/>
        <v>4.93</v>
      </c>
      <c r="F189" s="4" t="s">
        <v>384</v>
      </c>
      <c r="G189" s="4">
        <f t="shared" si="2"/>
        <v>4.93</v>
      </c>
      <c r="H189" s="4">
        <v>0.0</v>
      </c>
      <c r="I189" s="4" t="s">
        <v>385</v>
      </c>
      <c r="J189" s="4">
        <f t="shared" si="3"/>
        <v>0.5</v>
      </c>
      <c r="K189" s="4" t="s">
        <v>77</v>
      </c>
      <c r="L189" s="4">
        <f t="shared" si="4"/>
        <v>0.76</v>
      </c>
      <c r="M189" s="4" t="s">
        <v>383</v>
      </c>
      <c r="N189" s="4">
        <f t="shared" si="5"/>
        <v>3.65</v>
      </c>
      <c r="O189" s="4">
        <v>0.0</v>
      </c>
      <c r="P189" s="4">
        <f t="shared" si="6"/>
        <v>0</v>
      </c>
      <c r="Q189" s="4">
        <v>7.0</v>
      </c>
      <c r="R189" s="4">
        <v>19.0</v>
      </c>
      <c r="S189" s="4">
        <v>165.0</v>
      </c>
      <c r="T189" s="4">
        <v>1249.0</v>
      </c>
      <c r="U189" s="4">
        <v>2966.0</v>
      </c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4">
        <v>4.02033265E9</v>
      </c>
      <c r="B190" s="4">
        <v>42525.0</v>
      </c>
      <c r="C190" s="4">
        <v>7476.0</v>
      </c>
      <c r="D190" s="4" t="s">
        <v>144</v>
      </c>
      <c r="E190" s="4">
        <f t="shared" si="1"/>
        <v>5.36</v>
      </c>
      <c r="F190" s="4" t="s">
        <v>144</v>
      </c>
      <c r="G190" s="4">
        <f t="shared" si="2"/>
        <v>5.36</v>
      </c>
      <c r="H190" s="4">
        <v>0.0</v>
      </c>
      <c r="I190" s="4">
        <v>0.0</v>
      </c>
      <c r="J190" s="4">
        <f t="shared" si="3"/>
        <v>0</v>
      </c>
      <c r="K190" s="4">
        <v>0.0</v>
      </c>
      <c r="L190" s="4">
        <f t="shared" si="4"/>
        <v>0</v>
      </c>
      <c r="M190" s="4" t="s">
        <v>386</v>
      </c>
      <c r="N190" s="4">
        <f t="shared" si="5"/>
        <v>5.31</v>
      </c>
      <c r="O190" s="4">
        <v>0.0</v>
      </c>
      <c r="P190" s="4">
        <f t="shared" si="6"/>
        <v>0</v>
      </c>
      <c r="Q190" s="4">
        <v>0.0</v>
      </c>
      <c r="R190" s="4">
        <v>0.0</v>
      </c>
      <c r="S190" s="4">
        <v>263.0</v>
      </c>
      <c r="T190" s="4">
        <v>920.0</v>
      </c>
      <c r="U190" s="4">
        <v>3253.0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4">
        <v>4.02033265E9</v>
      </c>
      <c r="B191" s="4">
        <v>42555.0</v>
      </c>
      <c r="C191" s="4">
        <v>6581.0</v>
      </c>
      <c r="D191" s="4" t="s">
        <v>210</v>
      </c>
      <c r="E191" s="4">
        <f t="shared" si="1"/>
        <v>4.72</v>
      </c>
      <c r="F191" s="4" t="s">
        <v>210</v>
      </c>
      <c r="G191" s="4">
        <f t="shared" si="2"/>
        <v>4.72</v>
      </c>
      <c r="H191" s="4">
        <v>0.0</v>
      </c>
      <c r="I191" s="4">
        <v>0.0</v>
      </c>
      <c r="J191" s="4">
        <f t="shared" si="3"/>
        <v>0</v>
      </c>
      <c r="K191" s="4" t="s">
        <v>387</v>
      </c>
      <c r="L191" s="4">
        <f t="shared" si="4"/>
        <v>0.29</v>
      </c>
      <c r="M191" s="4" t="s">
        <v>300</v>
      </c>
      <c r="N191" s="4">
        <f t="shared" si="5"/>
        <v>4.39</v>
      </c>
      <c r="O191" s="4">
        <v>0.0</v>
      </c>
      <c r="P191" s="4">
        <f t="shared" si="6"/>
        <v>0</v>
      </c>
      <c r="Q191" s="4">
        <v>0.0</v>
      </c>
      <c r="R191" s="4">
        <v>8.0</v>
      </c>
      <c r="S191" s="4">
        <v>241.0</v>
      </c>
      <c r="T191" s="4">
        <v>1191.0</v>
      </c>
      <c r="U191" s="4">
        <v>3032.0</v>
      </c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4">
        <v>4.02033265E9</v>
      </c>
      <c r="B192" s="4">
        <v>42586.0</v>
      </c>
      <c r="C192" s="4">
        <v>10480.0</v>
      </c>
      <c r="D192" s="4" t="s">
        <v>388</v>
      </c>
      <c r="E192" s="4">
        <f t="shared" si="1"/>
        <v>7.51</v>
      </c>
      <c r="F192" s="4" t="s">
        <v>388</v>
      </c>
      <c r="G192" s="4">
        <f t="shared" si="2"/>
        <v>7.51</v>
      </c>
      <c r="H192" s="4">
        <v>0.0</v>
      </c>
      <c r="I192" s="4" t="s">
        <v>283</v>
      </c>
      <c r="J192" s="4">
        <f t="shared" si="3"/>
        <v>0.41</v>
      </c>
      <c r="K192" s="4" t="s">
        <v>389</v>
      </c>
      <c r="L192" s="4">
        <f t="shared" si="4"/>
        <v>1.47</v>
      </c>
      <c r="M192" s="4" t="s">
        <v>390</v>
      </c>
      <c r="N192" s="4">
        <f t="shared" si="5"/>
        <v>5.01</v>
      </c>
      <c r="O192" s="4" t="s">
        <v>285</v>
      </c>
      <c r="P192" s="4">
        <f t="shared" si="6"/>
        <v>0.04</v>
      </c>
      <c r="Q192" s="4">
        <v>6.0</v>
      </c>
      <c r="R192" s="4">
        <v>37.0</v>
      </c>
      <c r="S192" s="4">
        <v>272.0</v>
      </c>
      <c r="T192" s="4">
        <v>1125.0</v>
      </c>
      <c r="U192" s="4">
        <v>4034.0</v>
      </c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4">
        <v>4.02033265E9</v>
      </c>
      <c r="B193" s="4">
        <v>42617.0</v>
      </c>
      <c r="C193" s="4">
        <v>7734.0</v>
      </c>
      <c r="D193" s="4" t="s">
        <v>391</v>
      </c>
      <c r="E193" s="4">
        <f t="shared" si="1"/>
        <v>5.55</v>
      </c>
      <c r="F193" s="4" t="s">
        <v>391</v>
      </c>
      <c r="G193" s="4">
        <f t="shared" si="2"/>
        <v>5.55</v>
      </c>
      <c r="H193" s="4">
        <v>0.0</v>
      </c>
      <c r="I193" s="4" t="s">
        <v>392</v>
      </c>
      <c r="J193" s="4">
        <f t="shared" si="3"/>
        <v>1.16</v>
      </c>
      <c r="K193" s="4" t="s">
        <v>57</v>
      </c>
      <c r="L193" s="4">
        <f t="shared" si="4"/>
        <v>0.49</v>
      </c>
      <c r="M193" s="4" t="s">
        <v>393</v>
      </c>
      <c r="N193" s="4">
        <f t="shared" si="5"/>
        <v>3.82</v>
      </c>
      <c r="O193" s="4" t="s">
        <v>224</v>
      </c>
      <c r="P193" s="4">
        <f t="shared" si="6"/>
        <v>0.06</v>
      </c>
      <c r="Q193" s="4">
        <v>20.0</v>
      </c>
      <c r="R193" s="4">
        <v>12.0</v>
      </c>
      <c r="S193" s="4">
        <v>223.0</v>
      </c>
      <c r="T193" s="4">
        <v>1185.0</v>
      </c>
      <c r="U193" s="4">
        <v>3264.0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4">
        <v>4.02033265E9</v>
      </c>
      <c r="B194" s="4">
        <v>42647.0</v>
      </c>
      <c r="C194" s="4">
        <v>5129.0</v>
      </c>
      <c r="D194" s="4" t="s">
        <v>251</v>
      </c>
      <c r="E194" s="4">
        <f t="shared" si="1"/>
        <v>3.68</v>
      </c>
      <c r="F194" s="4" t="s">
        <v>251</v>
      </c>
      <c r="G194" s="4">
        <f t="shared" si="2"/>
        <v>3.68</v>
      </c>
      <c r="H194" s="4">
        <v>0.0</v>
      </c>
      <c r="I194" s="4" t="s">
        <v>312</v>
      </c>
      <c r="J194" s="4">
        <f t="shared" si="3"/>
        <v>0.18</v>
      </c>
      <c r="K194" s="4" t="s">
        <v>394</v>
      </c>
      <c r="L194" s="4">
        <f t="shared" si="4"/>
        <v>0.24</v>
      </c>
      <c r="M194" s="4" t="s">
        <v>295</v>
      </c>
      <c r="N194" s="4">
        <f t="shared" si="5"/>
        <v>3.21</v>
      </c>
      <c r="O194" s="4" t="s">
        <v>102</v>
      </c>
      <c r="P194" s="4">
        <f t="shared" si="6"/>
        <v>0.01</v>
      </c>
      <c r="Q194" s="4">
        <v>5.0</v>
      </c>
      <c r="R194" s="4">
        <v>7.0</v>
      </c>
      <c r="S194" s="4">
        <v>176.0</v>
      </c>
      <c r="T194" s="4">
        <v>1178.0</v>
      </c>
      <c r="U194" s="4">
        <v>2817.0</v>
      </c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4">
        <v>4.02033265E9</v>
      </c>
      <c r="B195" s="4">
        <v>42678.0</v>
      </c>
      <c r="C195" s="4">
        <v>2993.0</v>
      </c>
      <c r="D195" s="4" t="s">
        <v>110</v>
      </c>
      <c r="E195" s="4">
        <f t="shared" si="1"/>
        <v>2.15</v>
      </c>
      <c r="F195" s="4" t="s">
        <v>110</v>
      </c>
      <c r="G195" s="4">
        <f t="shared" si="2"/>
        <v>2.15</v>
      </c>
      <c r="H195" s="4">
        <v>0.0</v>
      </c>
      <c r="I195" s="4">
        <v>0.0</v>
      </c>
      <c r="J195" s="4">
        <f t="shared" si="3"/>
        <v>0</v>
      </c>
      <c r="K195" s="4">
        <v>0.0</v>
      </c>
      <c r="L195" s="4">
        <f t="shared" si="4"/>
        <v>0</v>
      </c>
      <c r="M195" s="4" t="s">
        <v>395</v>
      </c>
      <c r="N195" s="4">
        <f t="shared" si="5"/>
        <v>2.09</v>
      </c>
      <c r="O195" s="4">
        <v>0.0</v>
      </c>
      <c r="P195" s="4">
        <f t="shared" si="6"/>
        <v>0</v>
      </c>
      <c r="Q195" s="4">
        <v>0.0</v>
      </c>
      <c r="R195" s="4">
        <v>0.0</v>
      </c>
      <c r="S195" s="4">
        <v>114.0</v>
      </c>
      <c r="T195" s="4">
        <v>888.0</v>
      </c>
      <c r="U195" s="4">
        <v>2507.0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4">
        <v>4.02033265E9</v>
      </c>
      <c r="B196" s="4">
        <v>42708.0</v>
      </c>
      <c r="C196" s="4">
        <v>8.0</v>
      </c>
      <c r="D196" s="4" t="s">
        <v>102</v>
      </c>
      <c r="E196" s="4">
        <f t="shared" si="1"/>
        <v>0.01</v>
      </c>
      <c r="F196" s="4" t="s">
        <v>102</v>
      </c>
      <c r="G196" s="4">
        <f t="shared" si="2"/>
        <v>0.01</v>
      </c>
      <c r="H196" s="4">
        <v>0.0</v>
      </c>
      <c r="I196" s="4">
        <v>0.0</v>
      </c>
      <c r="J196" s="4">
        <f t="shared" si="3"/>
        <v>0</v>
      </c>
      <c r="K196" s="4">
        <v>0.0</v>
      </c>
      <c r="L196" s="4">
        <f t="shared" si="4"/>
        <v>0</v>
      </c>
      <c r="M196" s="4" t="s">
        <v>102</v>
      </c>
      <c r="N196" s="4">
        <f t="shared" si="5"/>
        <v>0.01</v>
      </c>
      <c r="O196" s="4">
        <v>0.0</v>
      </c>
      <c r="P196" s="4">
        <f t="shared" si="6"/>
        <v>0</v>
      </c>
      <c r="Q196" s="4">
        <v>0.0</v>
      </c>
      <c r="R196" s="4">
        <v>0.0</v>
      </c>
      <c r="S196" s="4">
        <v>1.0</v>
      </c>
      <c r="T196" s="4">
        <v>321.0</v>
      </c>
      <c r="U196" s="4">
        <v>446.0</v>
      </c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4">
        <v>4.057192912E9</v>
      </c>
      <c r="B197" s="4">
        <v>42707.0</v>
      </c>
      <c r="C197" s="4">
        <v>0.0</v>
      </c>
      <c r="D197" s="4">
        <v>0.0</v>
      </c>
      <c r="E197" s="4">
        <f t="shared" si="1"/>
        <v>0</v>
      </c>
      <c r="F197" s="4">
        <v>0.0</v>
      </c>
      <c r="G197" s="4">
        <f t="shared" si="2"/>
        <v>0</v>
      </c>
      <c r="H197" s="4">
        <v>0.0</v>
      </c>
      <c r="I197" s="4">
        <v>0.0</v>
      </c>
      <c r="J197" s="4">
        <f t="shared" si="3"/>
        <v>0</v>
      </c>
      <c r="K197" s="4">
        <v>0.0</v>
      </c>
      <c r="L197" s="4">
        <f t="shared" si="4"/>
        <v>0</v>
      </c>
      <c r="M197" s="4">
        <v>0.0</v>
      </c>
      <c r="N197" s="4">
        <f t="shared" si="5"/>
        <v>0</v>
      </c>
      <c r="O197" s="4">
        <v>0.0</v>
      </c>
      <c r="P197" s="4">
        <f t="shared" si="6"/>
        <v>0</v>
      </c>
      <c r="Q197" s="4">
        <v>0.0</v>
      </c>
      <c r="R197" s="4">
        <v>0.0</v>
      </c>
      <c r="S197" s="4">
        <v>0.0</v>
      </c>
      <c r="T197" s="4">
        <v>1440.0</v>
      </c>
      <c r="U197" s="4">
        <v>1777.0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4">
        <v>4.057192912E9</v>
      </c>
      <c r="B198" s="4" t="s">
        <v>340</v>
      </c>
      <c r="C198" s="4">
        <v>0.0</v>
      </c>
      <c r="D198" s="4">
        <v>0.0</v>
      </c>
      <c r="E198" s="4">
        <f t="shared" si="1"/>
        <v>0</v>
      </c>
      <c r="F198" s="4">
        <v>0.0</v>
      </c>
      <c r="G198" s="4">
        <f t="shared" si="2"/>
        <v>0</v>
      </c>
      <c r="H198" s="4">
        <v>0.0</v>
      </c>
      <c r="I198" s="4">
        <v>0.0</v>
      </c>
      <c r="J198" s="4">
        <f t="shared" si="3"/>
        <v>0</v>
      </c>
      <c r="K198" s="4">
        <v>0.0</v>
      </c>
      <c r="L198" s="4">
        <f t="shared" si="4"/>
        <v>0</v>
      </c>
      <c r="M198" s="4">
        <v>0.0</v>
      </c>
      <c r="N198" s="4">
        <f t="shared" si="5"/>
        <v>0</v>
      </c>
      <c r="O198" s="4">
        <v>0.0</v>
      </c>
      <c r="P198" s="4">
        <f t="shared" si="6"/>
        <v>0</v>
      </c>
      <c r="Q198" s="4">
        <v>0.0</v>
      </c>
      <c r="R198" s="4">
        <v>0.0</v>
      </c>
      <c r="S198" s="4">
        <v>0.0</v>
      </c>
      <c r="T198" s="4">
        <v>1440.0</v>
      </c>
      <c r="U198" s="4">
        <v>1777.0</v>
      </c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4">
        <v>4.057192912E9</v>
      </c>
      <c r="B199" s="4" t="s">
        <v>343</v>
      </c>
      <c r="C199" s="4">
        <v>8433.0</v>
      </c>
      <c r="D199" s="4" t="s">
        <v>257</v>
      </c>
      <c r="E199" s="4">
        <f t="shared" si="1"/>
        <v>6.23</v>
      </c>
      <c r="F199" s="4" t="s">
        <v>257</v>
      </c>
      <c r="G199" s="4">
        <f t="shared" si="2"/>
        <v>6.23</v>
      </c>
      <c r="H199" s="4">
        <v>0.0</v>
      </c>
      <c r="I199" s="4" t="s">
        <v>147</v>
      </c>
      <c r="J199" s="4">
        <f t="shared" si="3"/>
        <v>2.45</v>
      </c>
      <c r="K199" s="4" t="s">
        <v>265</v>
      </c>
      <c r="L199" s="4">
        <f t="shared" si="4"/>
        <v>0.33</v>
      </c>
      <c r="M199" s="4" t="s">
        <v>396</v>
      </c>
      <c r="N199" s="4">
        <f t="shared" si="5"/>
        <v>3.44</v>
      </c>
      <c r="O199" s="4">
        <v>0.0</v>
      </c>
      <c r="P199" s="4">
        <f t="shared" si="6"/>
        <v>0</v>
      </c>
      <c r="Q199" s="4">
        <v>30.0</v>
      </c>
      <c r="R199" s="4">
        <v>7.0</v>
      </c>
      <c r="S199" s="4">
        <v>135.0</v>
      </c>
      <c r="T199" s="4">
        <v>1268.0</v>
      </c>
      <c r="U199" s="4">
        <v>2453.0</v>
      </c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4">
        <v>4.057192912E9</v>
      </c>
      <c r="B200" s="4" t="s">
        <v>344</v>
      </c>
      <c r="C200" s="4">
        <v>0.0</v>
      </c>
      <c r="D200" s="4">
        <v>0.0</v>
      </c>
      <c r="E200" s="4">
        <f t="shared" si="1"/>
        <v>0</v>
      </c>
      <c r="F200" s="4">
        <v>0.0</v>
      </c>
      <c r="G200" s="4">
        <f t="shared" si="2"/>
        <v>0</v>
      </c>
      <c r="H200" s="4">
        <v>0.0</v>
      </c>
      <c r="I200" s="4">
        <v>0.0</v>
      </c>
      <c r="J200" s="4">
        <f t="shared" si="3"/>
        <v>0</v>
      </c>
      <c r="K200" s="4">
        <v>0.0</v>
      </c>
      <c r="L200" s="4">
        <f t="shared" si="4"/>
        <v>0</v>
      </c>
      <c r="M200" s="4">
        <v>0.0</v>
      </c>
      <c r="N200" s="4">
        <f t="shared" si="5"/>
        <v>0</v>
      </c>
      <c r="O200" s="4">
        <v>0.0</v>
      </c>
      <c r="P200" s="4">
        <f t="shared" si="6"/>
        <v>0</v>
      </c>
      <c r="Q200" s="4">
        <v>0.0</v>
      </c>
      <c r="R200" s="4">
        <v>0.0</v>
      </c>
      <c r="S200" s="4">
        <v>0.0</v>
      </c>
      <c r="T200" s="4">
        <v>1440.0</v>
      </c>
      <c r="U200" s="4">
        <v>1776.0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4">
        <v>4.057192912E9</v>
      </c>
      <c r="B201" s="4" t="s">
        <v>347</v>
      </c>
      <c r="C201" s="4">
        <v>2139.0</v>
      </c>
      <c r="D201" s="4" t="s">
        <v>140</v>
      </c>
      <c r="E201" s="4">
        <f t="shared" si="1"/>
        <v>1.56</v>
      </c>
      <c r="F201" s="4" t="s">
        <v>140</v>
      </c>
      <c r="G201" s="4">
        <f t="shared" si="2"/>
        <v>1.56</v>
      </c>
      <c r="H201" s="4">
        <v>0.0</v>
      </c>
      <c r="I201" s="4">
        <v>0.0</v>
      </c>
      <c r="J201" s="4">
        <f t="shared" si="3"/>
        <v>0</v>
      </c>
      <c r="K201" s="4" t="s">
        <v>297</v>
      </c>
      <c r="L201" s="4">
        <f t="shared" si="4"/>
        <v>1.3</v>
      </c>
      <c r="M201" s="4" t="s">
        <v>354</v>
      </c>
      <c r="N201" s="4">
        <f t="shared" si="5"/>
        <v>0.26</v>
      </c>
      <c r="O201" s="4">
        <v>0.0</v>
      </c>
      <c r="P201" s="4">
        <f t="shared" si="6"/>
        <v>0</v>
      </c>
      <c r="Q201" s="4">
        <v>0.0</v>
      </c>
      <c r="R201" s="4">
        <v>28.0</v>
      </c>
      <c r="S201" s="4">
        <v>15.0</v>
      </c>
      <c r="T201" s="4">
        <v>1397.0</v>
      </c>
      <c r="U201" s="4">
        <v>1935.0</v>
      </c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4">
        <v>4.057192912E9</v>
      </c>
      <c r="B202" s="4" t="s">
        <v>351</v>
      </c>
      <c r="C202" s="4">
        <v>0.0</v>
      </c>
      <c r="D202" s="4">
        <v>0.0</v>
      </c>
      <c r="E202" s="4">
        <f t="shared" si="1"/>
        <v>0</v>
      </c>
      <c r="F202" s="4">
        <v>0.0</v>
      </c>
      <c r="G202" s="4">
        <f t="shared" si="2"/>
        <v>0</v>
      </c>
      <c r="H202" s="4">
        <v>0.0</v>
      </c>
      <c r="I202" s="4">
        <v>0.0</v>
      </c>
      <c r="J202" s="4">
        <f t="shared" si="3"/>
        <v>0</v>
      </c>
      <c r="K202" s="4">
        <v>0.0</v>
      </c>
      <c r="L202" s="4">
        <f t="shared" si="4"/>
        <v>0</v>
      </c>
      <c r="M202" s="4">
        <v>0.0</v>
      </c>
      <c r="N202" s="4">
        <f t="shared" si="5"/>
        <v>0</v>
      </c>
      <c r="O202" s="4">
        <v>0.0</v>
      </c>
      <c r="P202" s="4">
        <f t="shared" si="6"/>
        <v>0</v>
      </c>
      <c r="Q202" s="4">
        <v>0.0</v>
      </c>
      <c r="R202" s="4">
        <v>0.0</v>
      </c>
      <c r="S202" s="4">
        <v>0.0</v>
      </c>
      <c r="T202" s="4">
        <v>1440.0</v>
      </c>
      <c r="U202" s="4">
        <v>1776.0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4">
        <v>4.057192912E9</v>
      </c>
      <c r="B203" s="4" t="s">
        <v>353</v>
      </c>
      <c r="C203" s="4">
        <v>949.0</v>
      </c>
      <c r="D203" s="4" t="s">
        <v>278</v>
      </c>
      <c r="E203" s="4">
        <f t="shared" si="1"/>
        <v>0.69</v>
      </c>
      <c r="F203" s="4" t="s">
        <v>278</v>
      </c>
      <c r="G203" s="4">
        <f t="shared" si="2"/>
        <v>0.69</v>
      </c>
      <c r="H203" s="4">
        <v>0.0</v>
      </c>
      <c r="I203" s="4">
        <v>0.0</v>
      </c>
      <c r="J203" s="4">
        <f t="shared" si="3"/>
        <v>0</v>
      </c>
      <c r="K203" s="4">
        <v>0.0</v>
      </c>
      <c r="L203" s="4">
        <f t="shared" si="4"/>
        <v>0</v>
      </c>
      <c r="M203" s="4" t="s">
        <v>278</v>
      </c>
      <c r="N203" s="4">
        <f t="shared" si="5"/>
        <v>0.69</v>
      </c>
      <c r="O203" s="4">
        <v>0.0</v>
      </c>
      <c r="P203" s="4">
        <f t="shared" si="6"/>
        <v>0</v>
      </c>
      <c r="Q203" s="4">
        <v>0.0</v>
      </c>
      <c r="R203" s="4">
        <v>0.0</v>
      </c>
      <c r="S203" s="4">
        <v>34.0</v>
      </c>
      <c r="T203" s="4">
        <v>1406.0</v>
      </c>
      <c r="U203" s="4">
        <v>1870.0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4">
        <v>4.057192912E9</v>
      </c>
      <c r="B204" s="4" t="s">
        <v>355</v>
      </c>
      <c r="C204" s="4">
        <v>0.0</v>
      </c>
      <c r="D204" s="4">
        <v>0.0</v>
      </c>
      <c r="E204" s="4">
        <f t="shared" si="1"/>
        <v>0</v>
      </c>
      <c r="F204" s="4">
        <v>0.0</v>
      </c>
      <c r="G204" s="4">
        <f t="shared" si="2"/>
        <v>0</v>
      </c>
      <c r="H204" s="4">
        <v>0.0</v>
      </c>
      <c r="I204" s="4">
        <v>0.0</v>
      </c>
      <c r="J204" s="4">
        <f t="shared" si="3"/>
        <v>0</v>
      </c>
      <c r="K204" s="4">
        <v>0.0</v>
      </c>
      <c r="L204" s="4">
        <f t="shared" si="4"/>
        <v>0</v>
      </c>
      <c r="M204" s="4">
        <v>0.0</v>
      </c>
      <c r="N204" s="4">
        <f t="shared" si="5"/>
        <v>0</v>
      </c>
      <c r="O204" s="4">
        <v>0.0</v>
      </c>
      <c r="P204" s="4">
        <f t="shared" si="6"/>
        <v>0</v>
      </c>
      <c r="Q204" s="4">
        <v>0.0</v>
      </c>
      <c r="R204" s="4">
        <v>0.0</v>
      </c>
      <c r="S204" s="4">
        <v>0.0</v>
      </c>
      <c r="T204" s="4">
        <v>1440.0</v>
      </c>
      <c r="U204" s="4">
        <v>1777.0</v>
      </c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4">
        <v>4.057192912E9</v>
      </c>
      <c r="B205" s="4" t="s">
        <v>357</v>
      </c>
      <c r="C205" s="4">
        <v>44.0</v>
      </c>
      <c r="D205" s="4" t="s">
        <v>121</v>
      </c>
      <c r="E205" s="4">
        <f t="shared" si="1"/>
        <v>0.03</v>
      </c>
      <c r="F205" s="4" t="s">
        <v>121</v>
      </c>
      <c r="G205" s="4">
        <f t="shared" si="2"/>
        <v>0.03</v>
      </c>
      <c r="H205" s="4">
        <v>0.0</v>
      </c>
      <c r="I205" s="4">
        <v>0.0</v>
      </c>
      <c r="J205" s="4">
        <f t="shared" si="3"/>
        <v>0</v>
      </c>
      <c r="K205" s="4">
        <v>0.0</v>
      </c>
      <c r="L205" s="4">
        <f t="shared" si="4"/>
        <v>0</v>
      </c>
      <c r="M205" s="4" t="s">
        <v>121</v>
      </c>
      <c r="N205" s="4">
        <f t="shared" si="5"/>
        <v>0.03</v>
      </c>
      <c r="O205" s="4">
        <v>0.0</v>
      </c>
      <c r="P205" s="4">
        <f t="shared" si="6"/>
        <v>0</v>
      </c>
      <c r="Q205" s="4">
        <v>0.0</v>
      </c>
      <c r="R205" s="4">
        <v>0.0</v>
      </c>
      <c r="S205" s="4">
        <v>2.0</v>
      </c>
      <c r="T205" s="4">
        <v>1438.0</v>
      </c>
      <c r="U205" s="4">
        <v>1782.0</v>
      </c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4">
        <v>4.057192912E9</v>
      </c>
      <c r="B206" s="4" t="s">
        <v>359</v>
      </c>
      <c r="C206" s="4">
        <v>2660.0</v>
      </c>
      <c r="D206" s="4" t="s">
        <v>397</v>
      </c>
      <c r="E206" s="4">
        <f t="shared" si="1"/>
        <v>1.94</v>
      </c>
      <c r="F206" s="4" t="s">
        <v>397</v>
      </c>
      <c r="G206" s="4">
        <f t="shared" si="2"/>
        <v>1.94</v>
      </c>
      <c r="H206" s="4">
        <v>0.0</v>
      </c>
      <c r="I206" s="4">
        <v>0.0</v>
      </c>
      <c r="J206" s="4">
        <f t="shared" si="3"/>
        <v>0</v>
      </c>
      <c r="K206" s="4">
        <v>0.0</v>
      </c>
      <c r="L206" s="4">
        <f t="shared" si="4"/>
        <v>0</v>
      </c>
      <c r="M206" s="4" t="s">
        <v>397</v>
      </c>
      <c r="N206" s="4">
        <f t="shared" si="5"/>
        <v>1.94</v>
      </c>
      <c r="O206" s="4">
        <v>0.0</v>
      </c>
      <c r="P206" s="4">
        <f t="shared" si="6"/>
        <v>0</v>
      </c>
      <c r="Q206" s="4">
        <v>0.0</v>
      </c>
      <c r="R206" s="4">
        <v>0.0</v>
      </c>
      <c r="S206" s="4">
        <v>46.0</v>
      </c>
      <c r="T206" s="4">
        <v>1394.0</v>
      </c>
      <c r="U206" s="4">
        <v>1978.0</v>
      </c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4">
        <v>4.057192912E9</v>
      </c>
      <c r="B207" s="4" t="s">
        <v>361</v>
      </c>
      <c r="C207" s="4">
        <v>5561.0</v>
      </c>
      <c r="D207" s="4" t="s">
        <v>162</v>
      </c>
      <c r="E207" s="4">
        <f t="shared" si="1"/>
        <v>4.19</v>
      </c>
      <c r="F207" s="4" t="s">
        <v>162</v>
      </c>
      <c r="G207" s="4">
        <f t="shared" si="2"/>
        <v>4.19</v>
      </c>
      <c r="H207" s="4">
        <v>0.0</v>
      </c>
      <c r="I207" s="4">
        <v>0.0</v>
      </c>
      <c r="J207" s="4">
        <f t="shared" si="3"/>
        <v>0</v>
      </c>
      <c r="K207" s="4">
        <v>0.0</v>
      </c>
      <c r="L207" s="4">
        <f t="shared" si="4"/>
        <v>0</v>
      </c>
      <c r="M207" s="4" t="s">
        <v>25</v>
      </c>
      <c r="N207" s="4">
        <f t="shared" si="5"/>
        <v>4.07</v>
      </c>
      <c r="O207" s="4">
        <v>0.0</v>
      </c>
      <c r="P207" s="4">
        <f t="shared" si="6"/>
        <v>0</v>
      </c>
      <c r="Q207" s="4">
        <v>0.0</v>
      </c>
      <c r="R207" s="4">
        <v>0.0</v>
      </c>
      <c r="S207" s="4">
        <v>169.0</v>
      </c>
      <c r="T207" s="4">
        <v>1271.0</v>
      </c>
      <c r="U207" s="4">
        <v>2296.0</v>
      </c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4">
        <v>4.057192912E9</v>
      </c>
      <c r="B208" s="4" t="s">
        <v>363</v>
      </c>
      <c r="C208" s="4">
        <v>7239.0</v>
      </c>
      <c r="D208" s="4" t="s">
        <v>398</v>
      </c>
      <c r="E208" s="4">
        <f t="shared" si="1"/>
        <v>5.34</v>
      </c>
      <c r="F208" s="4" t="s">
        <v>398</v>
      </c>
      <c r="G208" s="4">
        <f t="shared" si="2"/>
        <v>5.34</v>
      </c>
      <c r="H208" s="4">
        <v>0.0</v>
      </c>
      <c r="I208" s="4" t="s">
        <v>399</v>
      </c>
      <c r="J208" s="4">
        <f t="shared" si="3"/>
        <v>0.55</v>
      </c>
      <c r="K208" s="4" t="s">
        <v>174</v>
      </c>
      <c r="L208" s="4">
        <f t="shared" si="4"/>
        <v>0.36</v>
      </c>
      <c r="M208" s="4" t="s">
        <v>379</v>
      </c>
      <c r="N208" s="4">
        <f t="shared" si="5"/>
        <v>4.38</v>
      </c>
      <c r="O208" s="4">
        <v>0.0</v>
      </c>
      <c r="P208" s="4">
        <f t="shared" si="6"/>
        <v>0</v>
      </c>
      <c r="Q208" s="4">
        <v>7.0</v>
      </c>
      <c r="R208" s="4">
        <v>7.0</v>
      </c>
      <c r="S208" s="4">
        <v>190.0</v>
      </c>
      <c r="T208" s="4">
        <v>1236.0</v>
      </c>
      <c r="U208" s="4">
        <v>2484.0</v>
      </c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4">
        <v>4.057192912E9</v>
      </c>
      <c r="B209" s="4" t="s">
        <v>365</v>
      </c>
      <c r="C209" s="4">
        <v>7.0</v>
      </c>
      <c r="D209" s="4" t="s">
        <v>102</v>
      </c>
      <c r="E209" s="4">
        <f t="shared" si="1"/>
        <v>0.01</v>
      </c>
      <c r="F209" s="4" t="s">
        <v>102</v>
      </c>
      <c r="G209" s="4">
        <f t="shared" si="2"/>
        <v>0.01</v>
      </c>
      <c r="H209" s="4">
        <v>0.0</v>
      </c>
      <c r="I209" s="4">
        <v>0.0</v>
      </c>
      <c r="J209" s="4">
        <f t="shared" si="3"/>
        <v>0</v>
      </c>
      <c r="K209" s="4">
        <v>0.0</v>
      </c>
      <c r="L209" s="4">
        <f t="shared" si="4"/>
        <v>0</v>
      </c>
      <c r="M209" s="4" t="s">
        <v>102</v>
      </c>
      <c r="N209" s="4">
        <f t="shared" si="5"/>
        <v>0.01</v>
      </c>
      <c r="O209" s="4">
        <v>0.0</v>
      </c>
      <c r="P209" s="4">
        <f t="shared" si="6"/>
        <v>0</v>
      </c>
      <c r="Q209" s="4">
        <v>0.0</v>
      </c>
      <c r="R209" s="4">
        <v>0.0</v>
      </c>
      <c r="S209" s="4">
        <v>1.0</v>
      </c>
      <c r="T209" s="4">
        <v>1439.0</v>
      </c>
      <c r="U209" s="4">
        <v>1787.0</v>
      </c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4">
        <v>4.057192912E9</v>
      </c>
      <c r="B210" s="4" t="s">
        <v>21</v>
      </c>
      <c r="C210" s="4">
        <v>0.0</v>
      </c>
      <c r="D210" s="4">
        <v>0.0</v>
      </c>
      <c r="E210" s="4">
        <f t="shared" si="1"/>
        <v>0</v>
      </c>
      <c r="F210" s="4">
        <v>0.0</v>
      </c>
      <c r="G210" s="4">
        <f t="shared" si="2"/>
        <v>0</v>
      </c>
      <c r="H210" s="4">
        <v>0.0</v>
      </c>
      <c r="I210" s="4">
        <v>0.0</v>
      </c>
      <c r="J210" s="4">
        <f t="shared" si="3"/>
        <v>0</v>
      </c>
      <c r="K210" s="4">
        <v>0.0</v>
      </c>
      <c r="L210" s="4">
        <f t="shared" si="4"/>
        <v>0</v>
      </c>
      <c r="M210" s="4">
        <v>0.0</v>
      </c>
      <c r="N210" s="4">
        <f t="shared" si="5"/>
        <v>0</v>
      </c>
      <c r="O210" s="4">
        <v>0.0</v>
      </c>
      <c r="P210" s="4">
        <f t="shared" si="6"/>
        <v>0</v>
      </c>
      <c r="Q210" s="4">
        <v>0.0</v>
      </c>
      <c r="R210" s="4">
        <v>0.0</v>
      </c>
      <c r="S210" s="4">
        <v>0.0</v>
      </c>
      <c r="T210" s="4">
        <v>1440.0</v>
      </c>
      <c r="U210" s="4">
        <v>1776.0</v>
      </c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4">
        <v>4.057192912E9</v>
      </c>
      <c r="B211" s="4" t="s">
        <v>26</v>
      </c>
      <c r="C211" s="4">
        <v>0.0</v>
      </c>
      <c r="D211" s="4">
        <v>0.0</v>
      </c>
      <c r="E211" s="4">
        <f t="shared" si="1"/>
        <v>0</v>
      </c>
      <c r="F211" s="4">
        <v>0.0</v>
      </c>
      <c r="G211" s="4">
        <f t="shared" si="2"/>
        <v>0</v>
      </c>
      <c r="H211" s="4">
        <v>0.0</v>
      </c>
      <c r="I211" s="4">
        <v>0.0</v>
      </c>
      <c r="J211" s="4">
        <f t="shared" si="3"/>
        <v>0</v>
      </c>
      <c r="K211" s="4">
        <v>0.0</v>
      </c>
      <c r="L211" s="4">
        <f t="shared" si="4"/>
        <v>0</v>
      </c>
      <c r="M211" s="4">
        <v>0.0</v>
      </c>
      <c r="N211" s="4">
        <f t="shared" si="5"/>
        <v>0</v>
      </c>
      <c r="O211" s="4">
        <v>0.0</v>
      </c>
      <c r="P211" s="4">
        <f t="shared" si="6"/>
        <v>0</v>
      </c>
      <c r="Q211" s="4">
        <v>0.0</v>
      </c>
      <c r="R211" s="4">
        <v>0.0</v>
      </c>
      <c r="S211" s="4">
        <v>0.0</v>
      </c>
      <c r="T211" s="4">
        <v>1440.0</v>
      </c>
      <c r="U211" s="4">
        <v>1776.0</v>
      </c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4">
        <v>4.057192912E9</v>
      </c>
      <c r="B212" s="4" t="s">
        <v>31</v>
      </c>
      <c r="C212" s="4">
        <v>2275.0</v>
      </c>
      <c r="D212" s="4" t="s">
        <v>294</v>
      </c>
      <c r="E212" s="4">
        <f t="shared" si="1"/>
        <v>1.68</v>
      </c>
      <c r="F212" s="4" t="s">
        <v>294</v>
      </c>
      <c r="G212" s="4">
        <f t="shared" si="2"/>
        <v>1.68</v>
      </c>
      <c r="H212" s="4">
        <v>0.0</v>
      </c>
      <c r="I212" s="4">
        <v>0.0</v>
      </c>
      <c r="J212" s="4">
        <f t="shared" si="3"/>
        <v>0</v>
      </c>
      <c r="K212" s="4">
        <v>0.0</v>
      </c>
      <c r="L212" s="4">
        <f t="shared" si="4"/>
        <v>0</v>
      </c>
      <c r="M212" s="4" t="s">
        <v>400</v>
      </c>
      <c r="N212" s="4">
        <f t="shared" si="5"/>
        <v>1.66</v>
      </c>
      <c r="O212" s="4">
        <v>0.0</v>
      </c>
      <c r="P212" s="4">
        <f t="shared" si="6"/>
        <v>0</v>
      </c>
      <c r="Q212" s="4">
        <v>0.0</v>
      </c>
      <c r="R212" s="4">
        <v>0.0</v>
      </c>
      <c r="S212" s="4">
        <v>86.0</v>
      </c>
      <c r="T212" s="4">
        <v>1354.0</v>
      </c>
      <c r="U212" s="4">
        <v>2005.0</v>
      </c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4">
        <v>4.057192912E9</v>
      </c>
      <c r="B213" s="4" t="s">
        <v>36</v>
      </c>
      <c r="C213" s="4">
        <v>8.0</v>
      </c>
      <c r="D213" s="4" t="s">
        <v>102</v>
      </c>
      <c r="E213" s="4">
        <f t="shared" si="1"/>
        <v>0.01</v>
      </c>
      <c r="F213" s="4" t="s">
        <v>102</v>
      </c>
      <c r="G213" s="4">
        <f t="shared" si="2"/>
        <v>0.01</v>
      </c>
      <c r="H213" s="4">
        <v>0.0</v>
      </c>
      <c r="I213" s="4">
        <v>0.0</v>
      </c>
      <c r="J213" s="4">
        <f t="shared" si="3"/>
        <v>0</v>
      </c>
      <c r="K213" s="4">
        <v>0.0</v>
      </c>
      <c r="L213" s="4">
        <f t="shared" si="4"/>
        <v>0</v>
      </c>
      <c r="M213" s="4" t="s">
        <v>102</v>
      </c>
      <c r="N213" s="4">
        <f t="shared" si="5"/>
        <v>0.01</v>
      </c>
      <c r="O213" s="4">
        <v>0.0</v>
      </c>
      <c r="P213" s="4">
        <f t="shared" si="6"/>
        <v>0</v>
      </c>
      <c r="Q213" s="4">
        <v>0.0</v>
      </c>
      <c r="R213" s="4">
        <v>0.0</v>
      </c>
      <c r="S213" s="4">
        <v>1.0</v>
      </c>
      <c r="T213" s="4">
        <v>1439.0</v>
      </c>
      <c r="U213" s="4">
        <v>1778.0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4">
        <v>4.057192912E9</v>
      </c>
      <c r="B214" s="4" t="s">
        <v>42</v>
      </c>
      <c r="C214" s="4">
        <v>5137.0</v>
      </c>
      <c r="D214" s="4" t="s">
        <v>401</v>
      </c>
      <c r="E214" s="4">
        <f t="shared" si="1"/>
        <v>3.76</v>
      </c>
      <c r="F214" s="4" t="s">
        <v>401</v>
      </c>
      <c r="G214" s="4">
        <f t="shared" si="2"/>
        <v>3.76</v>
      </c>
      <c r="H214" s="4">
        <v>0.0</v>
      </c>
      <c r="I214" s="4">
        <v>0.0</v>
      </c>
      <c r="J214" s="4">
        <f t="shared" si="3"/>
        <v>0</v>
      </c>
      <c r="K214" s="4">
        <v>0.0</v>
      </c>
      <c r="L214" s="4">
        <f t="shared" si="4"/>
        <v>0</v>
      </c>
      <c r="M214" s="4" t="s">
        <v>401</v>
      </c>
      <c r="N214" s="4">
        <f t="shared" si="5"/>
        <v>3.76</v>
      </c>
      <c r="O214" s="4">
        <v>0.0</v>
      </c>
      <c r="P214" s="4">
        <f t="shared" si="6"/>
        <v>0</v>
      </c>
      <c r="Q214" s="4">
        <v>0.0</v>
      </c>
      <c r="R214" s="4">
        <v>0.0</v>
      </c>
      <c r="S214" s="4">
        <v>160.0</v>
      </c>
      <c r="T214" s="4">
        <v>1280.0</v>
      </c>
      <c r="U214" s="4">
        <v>2293.0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4">
        <v>4.057192912E9</v>
      </c>
      <c r="B215" s="4" t="s">
        <v>48</v>
      </c>
      <c r="C215" s="4">
        <v>5419.0</v>
      </c>
      <c r="D215" s="4">
        <v>4.0</v>
      </c>
      <c r="E215" s="4">
        <f t="shared" si="1"/>
        <v>4</v>
      </c>
      <c r="F215" s="4" t="s">
        <v>402</v>
      </c>
      <c r="G215" s="4">
        <f t="shared" si="2"/>
        <v>4.57</v>
      </c>
      <c r="H215" s="4" t="s">
        <v>403</v>
      </c>
      <c r="I215" s="4">
        <v>0.0</v>
      </c>
      <c r="J215" s="4">
        <f t="shared" si="3"/>
        <v>0</v>
      </c>
      <c r="K215" s="4">
        <v>0.0</v>
      </c>
      <c r="L215" s="4">
        <f t="shared" si="4"/>
        <v>0</v>
      </c>
      <c r="M215" s="4" t="s">
        <v>30</v>
      </c>
      <c r="N215" s="4">
        <f t="shared" si="5"/>
        <v>3.91</v>
      </c>
      <c r="O215" s="4" t="s">
        <v>224</v>
      </c>
      <c r="P215" s="4">
        <f t="shared" si="6"/>
        <v>0.06</v>
      </c>
      <c r="Q215" s="4">
        <v>0.0</v>
      </c>
      <c r="R215" s="4">
        <v>0.0</v>
      </c>
      <c r="S215" s="4">
        <v>145.0</v>
      </c>
      <c r="T215" s="4">
        <v>1295.0</v>
      </c>
      <c r="U215" s="4">
        <v>2259.0</v>
      </c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4">
        <v>4.057192912E9</v>
      </c>
      <c r="B216" s="4" t="s">
        <v>54</v>
      </c>
      <c r="C216" s="4">
        <v>0.0</v>
      </c>
      <c r="D216" s="4">
        <v>0.0</v>
      </c>
      <c r="E216" s="4">
        <f t="shared" si="1"/>
        <v>0</v>
      </c>
      <c r="F216" s="4">
        <v>0.0</v>
      </c>
      <c r="G216" s="4">
        <f t="shared" si="2"/>
        <v>0</v>
      </c>
      <c r="H216" s="4">
        <v>0.0</v>
      </c>
      <c r="I216" s="4">
        <v>0.0</v>
      </c>
      <c r="J216" s="4">
        <f t="shared" si="3"/>
        <v>0</v>
      </c>
      <c r="K216" s="4">
        <v>0.0</v>
      </c>
      <c r="L216" s="4">
        <f t="shared" si="4"/>
        <v>0</v>
      </c>
      <c r="M216" s="4">
        <v>0.0</v>
      </c>
      <c r="N216" s="4">
        <f t="shared" si="5"/>
        <v>0</v>
      </c>
      <c r="O216" s="4">
        <v>0.0</v>
      </c>
      <c r="P216" s="4">
        <f t="shared" si="6"/>
        <v>0</v>
      </c>
      <c r="Q216" s="4">
        <v>0.0</v>
      </c>
      <c r="R216" s="4">
        <v>0.0</v>
      </c>
      <c r="S216" s="4">
        <v>0.0</v>
      </c>
      <c r="T216" s="4">
        <v>1440.0</v>
      </c>
      <c r="U216" s="4">
        <v>1776.0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4">
        <v>4.057192912E9</v>
      </c>
      <c r="B217" s="4">
        <v>42373.0</v>
      </c>
      <c r="C217" s="4">
        <v>0.0</v>
      </c>
      <c r="D217" s="4">
        <v>0.0</v>
      </c>
      <c r="E217" s="4">
        <f t="shared" si="1"/>
        <v>0</v>
      </c>
      <c r="F217" s="4">
        <v>0.0</v>
      </c>
      <c r="G217" s="4">
        <f t="shared" si="2"/>
        <v>0</v>
      </c>
      <c r="H217" s="4">
        <v>0.0</v>
      </c>
      <c r="I217" s="4">
        <v>0.0</v>
      </c>
      <c r="J217" s="4">
        <f t="shared" si="3"/>
        <v>0</v>
      </c>
      <c r="K217" s="4">
        <v>0.0</v>
      </c>
      <c r="L217" s="4">
        <f t="shared" si="4"/>
        <v>0</v>
      </c>
      <c r="M217" s="4">
        <v>0.0</v>
      </c>
      <c r="N217" s="4">
        <f t="shared" si="5"/>
        <v>0</v>
      </c>
      <c r="O217" s="4">
        <v>0.0</v>
      </c>
      <c r="P217" s="4">
        <f t="shared" si="6"/>
        <v>0</v>
      </c>
      <c r="Q217" s="4">
        <v>0.0</v>
      </c>
      <c r="R217" s="4">
        <v>0.0</v>
      </c>
      <c r="S217" s="4">
        <v>0.0</v>
      </c>
      <c r="T217" s="4">
        <v>1440.0</v>
      </c>
      <c r="U217" s="4">
        <v>1776.0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4">
        <v>4.057192912E9</v>
      </c>
      <c r="B218" s="4">
        <v>42404.0</v>
      </c>
      <c r="C218" s="4">
        <v>0.0</v>
      </c>
      <c r="D218" s="4">
        <v>0.0</v>
      </c>
      <c r="E218" s="4">
        <f t="shared" si="1"/>
        <v>0</v>
      </c>
      <c r="F218" s="4">
        <v>0.0</v>
      </c>
      <c r="G218" s="4">
        <f t="shared" si="2"/>
        <v>0</v>
      </c>
      <c r="H218" s="4">
        <v>0.0</v>
      </c>
      <c r="I218" s="4">
        <v>0.0</v>
      </c>
      <c r="J218" s="4">
        <f t="shared" si="3"/>
        <v>0</v>
      </c>
      <c r="K218" s="4">
        <v>0.0</v>
      </c>
      <c r="L218" s="4">
        <f t="shared" si="4"/>
        <v>0</v>
      </c>
      <c r="M218" s="4">
        <v>0.0</v>
      </c>
      <c r="N218" s="4">
        <f t="shared" si="5"/>
        <v>0</v>
      </c>
      <c r="O218" s="4">
        <v>0.0</v>
      </c>
      <c r="P218" s="4">
        <f t="shared" si="6"/>
        <v>0</v>
      </c>
      <c r="Q218" s="4">
        <v>0.0</v>
      </c>
      <c r="R218" s="4">
        <v>0.0</v>
      </c>
      <c r="S218" s="4">
        <v>0.0</v>
      </c>
      <c r="T218" s="4">
        <v>1440.0</v>
      </c>
      <c r="U218" s="4">
        <v>1776.0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4">
        <v>4.057192912E9</v>
      </c>
      <c r="B219" s="4">
        <v>42433.0</v>
      </c>
      <c r="C219" s="4">
        <v>0.0</v>
      </c>
      <c r="D219" s="4">
        <v>0.0</v>
      </c>
      <c r="E219" s="4">
        <f t="shared" si="1"/>
        <v>0</v>
      </c>
      <c r="F219" s="4">
        <v>0.0</v>
      </c>
      <c r="G219" s="4">
        <f t="shared" si="2"/>
        <v>0</v>
      </c>
      <c r="H219" s="4">
        <v>0.0</v>
      </c>
      <c r="I219" s="4">
        <v>0.0</v>
      </c>
      <c r="J219" s="4">
        <f t="shared" si="3"/>
        <v>0</v>
      </c>
      <c r="K219" s="4">
        <v>0.0</v>
      </c>
      <c r="L219" s="4">
        <f t="shared" si="4"/>
        <v>0</v>
      </c>
      <c r="M219" s="4">
        <v>0.0</v>
      </c>
      <c r="N219" s="4">
        <f t="shared" si="5"/>
        <v>0</v>
      </c>
      <c r="O219" s="4">
        <v>0.0</v>
      </c>
      <c r="P219" s="4">
        <f t="shared" si="6"/>
        <v>0</v>
      </c>
      <c r="Q219" s="4">
        <v>0.0</v>
      </c>
      <c r="R219" s="4">
        <v>0.0</v>
      </c>
      <c r="S219" s="4">
        <v>0.0</v>
      </c>
      <c r="T219" s="4">
        <v>1440.0</v>
      </c>
      <c r="U219" s="4">
        <v>1776.0</v>
      </c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4">
        <v>4.057192912E9</v>
      </c>
      <c r="B220" s="4">
        <v>42464.0</v>
      </c>
      <c r="C220" s="4">
        <v>0.0</v>
      </c>
      <c r="D220" s="4">
        <v>0.0</v>
      </c>
      <c r="E220" s="4">
        <f t="shared" si="1"/>
        <v>0</v>
      </c>
      <c r="F220" s="4">
        <v>0.0</v>
      </c>
      <c r="G220" s="4">
        <f t="shared" si="2"/>
        <v>0</v>
      </c>
      <c r="H220" s="4">
        <v>0.0</v>
      </c>
      <c r="I220" s="4">
        <v>0.0</v>
      </c>
      <c r="J220" s="4">
        <f t="shared" si="3"/>
        <v>0</v>
      </c>
      <c r="K220" s="4">
        <v>0.0</v>
      </c>
      <c r="L220" s="4">
        <f t="shared" si="4"/>
        <v>0</v>
      </c>
      <c r="M220" s="4">
        <v>0.0</v>
      </c>
      <c r="N220" s="4">
        <f t="shared" si="5"/>
        <v>0</v>
      </c>
      <c r="O220" s="4">
        <v>0.0</v>
      </c>
      <c r="P220" s="4">
        <f t="shared" si="6"/>
        <v>0</v>
      </c>
      <c r="Q220" s="4">
        <v>0.0</v>
      </c>
      <c r="R220" s="4">
        <v>0.0</v>
      </c>
      <c r="S220" s="4">
        <v>0.0</v>
      </c>
      <c r="T220" s="4">
        <v>1440.0</v>
      </c>
      <c r="U220" s="4">
        <v>1776.0</v>
      </c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4">
        <v>4.057192912E9</v>
      </c>
      <c r="B221" s="4">
        <v>42494.0</v>
      </c>
      <c r="C221" s="4">
        <v>0.0</v>
      </c>
      <c r="D221" s="4">
        <v>0.0</v>
      </c>
      <c r="E221" s="4">
        <f t="shared" si="1"/>
        <v>0</v>
      </c>
      <c r="F221" s="4">
        <v>0.0</v>
      </c>
      <c r="G221" s="4">
        <f t="shared" si="2"/>
        <v>0</v>
      </c>
      <c r="H221" s="4">
        <v>0.0</v>
      </c>
      <c r="I221" s="4">
        <v>0.0</v>
      </c>
      <c r="J221" s="4">
        <f t="shared" si="3"/>
        <v>0</v>
      </c>
      <c r="K221" s="4">
        <v>0.0</v>
      </c>
      <c r="L221" s="4">
        <f t="shared" si="4"/>
        <v>0</v>
      </c>
      <c r="M221" s="4">
        <v>0.0</v>
      </c>
      <c r="N221" s="4">
        <f t="shared" si="5"/>
        <v>0</v>
      </c>
      <c r="O221" s="4">
        <v>0.0</v>
      </c>
      <c r="P221" s="4">
        <f t="shared" si="6"/>
        <v>0</v>
      </c>
      <c r="Q221" s="4">
        <v>0.0</v>
      </c>
      <c r="R221" s="4">
        <v>0.0</v>
      </c>
      <c r="S221" s="4">
        <v>0.0</v>
      </c>
      <c r="T221" s="4">
        <v>1440.0</v>
      </c>
      <c r="U221" s="4">
        <v>1776.0</v>
      </c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4">
        <v>4.057192912E9</v>
      </c>
      <c r="B222" s="4">
        <v>42525.0</v>
      </c>
      <c r="C222" s="4">
        <v>18.0</v>
      </c>
      <c r="D222" s="4" t="s">
        <v>102</v>
      </c>
      <c r="E222" s="4">
        <f t="shared" si="1"/>
        <v>0.01</v>
      </c>
      <c r="F222" s="4" t="s">
        <v>102</v>
      </c>
      <c r="G222" s="4">
        <f t="shared" si="2"/>
        <v>0.01</v>
      </c>
      <c r="H222" s="4">
        <v>0.0</v>
      </c>
      <c r="I222" s="4">
        <v>0.0</v>
      </c>
      <c r="J222" s="4">
        <f t="shared" si="3"/>
        <v>0</v>
      </c>
      <c r="K222" s="4">
        <v>0.0</v>
      </c>
      <c r="L222" s="4">
        <f t="shared" si="4"/>
        <v>0</v>
      </c>
      <c r="M222" s="4" t="s">
        <v>102</v>
      </c>
      <c r="N222" s="4">
        <f t="shared" si="5"/>
        <v>0.01</v>
      </c>
      <c r="O222" s="4">
        <v>0.0</v>
      </c>
      <c r="P222" s="4">
        <f t="shared" si="6"/>
        <v>0</v>
      </c>
      <c r="Q222" s="4">
        <v>0.0</v>
      </c>
      <c r="R222" s="4">
        <v>0.0</v>
      </c>
      <c r="S222" s="4">
        <v>2.0</v>
      </c>
      <c r="T222" s="4">
        <v>1438.0</v>
      </c>
      <c r="U222" s="4">
        <v>1780.0</v>
      </c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4">
        <v>4.057192912E9</v>
      </c>
      <c r="B223" s="4">
        <v>42555.0</v>
      </c>
      <c r="C223" s="4">
        <v>4.0</v>
      </c>
      <c r="D223" s="4">
        <v>0.0</v>
      </c>
      <c r="E223" s="4">
        <f t="shared" si="1"/>
        <v>0</v>
      </c>
      <c r="F223" s="4">
        <v>0.0</v>
      </c>
      <c r="G223" s="4">
        <f t="shared" si="2"/>
        <v>0</v>
      </c>
      <c r="H223" s="4">
        <v>0.0</v>
      </c>
      <c r="I223" s="4">
        <v>0.0</v>
      </c>
      <c r="J223" s="4">
        <f t="shared" si="3"/>
        <v>0</v>
      </c>
      <c r="K223" s="4">
        <v>0.0</v>
      </c>
      <c r="L223" s="4">
        <f t="shared" si="4"/>
        <v>0</v>
      </c>
      <c r="M223" s="4">
        <v>0.0</v>
      </c>
      <c r="N223" s="4">
        <f t="shared" si="5"/>
        <v>0</v>
      </c>
      <c r="O223" s="4">
        <v>0.0</v>
      </c>
      <c r="P223" s="4">
        <f t="shared" si="6"/>
        <v>0</v>
      </c>
      <c r="Q223" s="4">
        <v>0.0</v>
      </c>
      <c r="R223" s="4">
        <v>0.0</v>
      </c>
      <c r="S223" s="4">
        <v>1.0</v>
      </c>
      <c r="T223" s="4">
        <v>1439.0</v>
      </c>
      <c r="U223" s="4">
        <v>1778.0</v>
      </c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4">
        <v>4.057192912E9</v>
      </c>
      <c r="B224" s="4">
        <v>42586.0</v>
      </c>
      <c r="C224" s="4">
        <v>8426.0</v>
      </c>
      <c r="D224" s="4" t="s">
        <v>404</v>
      </c>
      <c r="E224" s="4">
        <f t="shared" si="1"/>
        <v>6.16</v>
      </c>
      <c r="F224" s="4" t="s">
        <v>404</v>
      </c>
      <c r="G224" s="4">
        <f t="shared" si="2"/>
        <v>6.16</v>
      </c>
      <c r="H224" s="4">
        <v>0.0</v>
      </c>
      <c r="I224" s="4" t="s">
        <v>99</v>
      </c>
      <c r="J224" s="4">
        <f t="shared" si="3"/>
        <v>0.13</v>
      </c>
      <c r="K224" s="4" t="s">
        <v>405</v>
      </c>
      <c r="L224" s="4">
        <f t="shared" si="4"/>
        <v>5.49</v>
      </c>
      <c r="M224" s="4" t="s">
        <v>406</v>
      </c>
      <c r="N224" s="4">
        <f t="shared" si="5"/>
        <v>0.54</v>
      </c>
      <c r="O224" s="4">
        <v>0.0</v>
      </c>
      <c r="P224" s="4">
        <f t="shared" si="6"/>
        <v>0</v>
      </c>
      <c r="Q224" s="4">
        <v>2.0</v>
      </c>
      <c r="R224" s="4">
        <v>120.0</v>
      </c>
      <c r="S224" s="4">
        <v>25.0</v>
      </c>
      <c r="T224" s="4">
        <v>1293.0</v>
      </c>
      <c r="U224" s="4">
        <v>2360.0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4">
        <v>4.057192912E9</v>
      </c>
      <c r="B225" s="4">
        <v>42617.0</v>
      </c>
      <c r="C225" s="4">
        <v>1650.0</v>
      </c>
      <c r="D225" s="4" t="s">
        <v>208</v>
      </c>
      <c r="E225" s="4">
        <f t="shared" si="1"/>
        <v>1.21</v>
      </c>
      <c r="F225" s="4" t="s">
        <v>208</v>
      </c>
      <c r="G225" s="4">
        <f t="shared" si="2"/>
        <v>1.21</v>
      </c>
      <c r="H225" s="4">
        <v>0.0</v>
      </c>
      <c r="I225" s="4">
        <v>0.0</v>
      </c>
      <c r="J225" s="4">
        <f t="shared" si="3"/>
        <v>0</v>
      </c>
      <c r="K225" s="4">
        <v>0.0</v>
      </c>
      <c r="L225" s="4">
        <f t="shared" si="4"/>
        <v>0</v>
      </c>
      <c r="M225" s="4" t="s">
        <v>208</v>
      </c>
      <c r="N225" s="4">
        <f t="shared" si="5"/>
        <v>1.21</v>
      </c>
      <c r="O225" s="4">
        <v>0.0</v>
      </c>
      <c r="P225" s="4">
        <f t="shared" si="6"/>
        <v>0</v>
      </c>
      <c r="Q225" s="4">
        <v>0.0</v>
      </c>
      <c r="R225" s="4">
        <v>0.0</v>
      </c>
      <c r="S225" s="4">
        <v>60.0</v>
      </c>
      <c r="T225" s="4">
        <v>1380.0</v>
      </c>
      <c r="U225" s="4">
        <v>1952.0</v>
      </c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4">
        <v>4.057192912E9</v>
      </c>
      <c r="B226" s="4">
        <v>42647.0</v>
      </c>
      <c r="C226" s="4">
        <v>3434.0</v>
      </c>
      <c r="D226" s="4" t="s">
        <v>407</v>
      </c>
      <c r="E226" s="4">
        <f t="shared" si="1"/>
        <v>2.51</v>
      </c>
      <c r="F226" s="4" t="s">
        <v>407</v>
      </c>
      <c r="G226" s="4">
        <f t="shared" si="2"/>
        <v>2.51</v>
      </c>
      <c r="H226" s="4">
        <v>0.0</v>
      </c>
      <c r="I226" s="4" t="s">
        <v>336</v>
      </c>
      <c r="J226" s="4">
        <f t="shared" si="3"/>
        <v>0.07</v>
      </c>
      <c r="K226" s="4" t="s">
        <v>408</v>
      </c>
      <c r="L226" s="4">
        <f t="shared" si="4"/>
        <v>0.3</v>
      </c>
      <c r="M226" s="4" t="s">
        <v>335</v>
      </c>
      <c r="N226" s="4">
        <f t="shared" si="5"/>
        <v>2.14</v>
      </c>
      <c r="O226" s="4">
        <v>0.0</v>
      </c>
      <c r="P226" s="4">
        <f t="shared" si="6"/>
        <v>0</v>
      </c>
      <c r="Q226" s="4">
        <v>1.0</v>
      </c>
      <c r="R226" s="4">
        <v>7.0</v>
      </c>
      <c r="S226" s="4">
        <v>108.0</v>
      </c>
      <c r="T226" s="4">
        <v>1324.0</v>
      </c>
      <c r="U226" s="4">
        <v>2101.0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4">
        <v>4.057192912E9</v>
      </c>
      <c r="B227" s="4">
        <v>42678.0</v>
      </c>
      <c r="C227" s="4">
        <v>6801.0</v>
      </c>
      <c r="D227" s="4" t="s">
        <v>409</v>
      </c>
      <c r="E227" s="4">
        <f t="shared" si="1"/>
        <v>4.98</v>
      </c>
      <c r="F227" s="4" t="s">
        <v>409</v>
      </c>
      <c r="G227" s="4">
        <f t="shared" si="2"/>
        <v>4.98</v>
      </c>
      <c r="H227" s="4">
        <v>0.0</v>
      </c>
      <c r="I227" s="4">
        <v>0.0</v>
      </c>
      <c r="J227" s="4">
        <f t="shared" si="3"/>
        <v>0</v>
      </c>
      <c r="K227" s="4">
        <v>0.0</v>
      </c>
      <c r="L227" s="4">
        <f t="shared" si="4"/>
        <v>0</v>
      </c>
      <c r="M227" s="4" t="s">
        <v>410</v>
      </c>
      <c r="N227" s="4">
        <f t="shared" si="5"/>
        <v>4.97</v>
      </c>
      <c r="O227" s="4">
        <v>0.0</v>
      </c>
      <c r="P227" s="4">
        <f t="shared" si="6"/>
        <v>0</v>
      </c>
      <c r="Q227" s="4">
        <v>0.0</v>
      </c>
      <c r="R227" s="4">
        <v>0.0</v>
      </c>
      <c r="S227" s="4">
        <v>193.0</v>
      </c>
      <c r="T227" s="4">
        <v>1247.0</v>
      </c>
      <c r="U227" s="4">
        <v>2393.0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4">
        <v>4.057192912E9</v>
      </c>
      <c r="B228" s="4">
        <v>42708.0</v>
      </c>
      <c r="C228" s="4">
        <v>187.0</v>
      </c>
      <c r="D228" s="4" t="s">
        <v>98</v>
      </c>
      <c r="E228" s="4">
        <f t="shared" si="1"/>
        <v>0.14</v>
      </c>
      <c r="F228" s="4" t="s">
        <v>98</v>
      </c>
      <c r="G228" s="4">
        <f t="shared" si="2"/>
        <v>0.14</v>
      </c>
      <c r="H228" s="4">
        <v>0.0</v>
      </c>
      <c r="I228" s="4">
        <v>0.0</v>
      </c>
      <c r="J228" s="4">
        <f t="shared" si="3"/>
        <v>0</v>
      </c>
      <c r="K228" s="4">
        <v>0.0</v>
      </c>
      <c r="L228" s="4">
        <f t="shared" si="4"/>
        <v>0</v>
      </c>
      <c r="M228" s="4" t="s">
        <v>98</v>
      </c>
      <c r="N228" s="4">
        <f t="shared" si="5"/>
        <v>0.14</v>
      </c>
      <c r="O228" s="4">
        <v>0.0</v>
      </c>
      <c r="P228" s="4">
        <f t="shared" si="6"/>
        <v>0</v>
      </c>
      <c r="Q228" s="4">
        <v>0.0</v>
      </c>
      <c r="R228" s="4">
        <v>0.0</v>
      </c>
      <c r="S228" s="4">
        <v>11.0</v>
      </c>
      <c r="T228" s="4">
        <v>400.0</v>
      </c>
      <c r="U228" s="4">
        <v>538.0</v>
      </c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4">
        <v>4.319703577E9</v>
      </c>
      <c r="B229" s="4" t="s">
        <v>42</v>
      </c>
      <c r="C229" s="4">
        <v>5643.0</v>
      </c>
      <c r="D229" s="4" t="s">
        <v>136</v>
      </c>
      <c r="E229" s="4">
        <f t="shared" si="1"/>
        <v>3.79</v>
      </c>
      <c r="F229" s="4" t="s">
        <v>136</v>
      </c>
      <c r="G229" s="4">
        <f t="shared" si="2"/>
        <v>3.79</v>
      </c>
      <c r="H229" s="4">
        <v>0.0</v>
      </c>
      <c r="I229" s="4" t="s">
        <v>411</v>
      </c>
      <c r="J229" s="4">
        <f t="shared" si="3"/>
        <v>0.23</v>
      </c>
      <c r="K229" s="4" t="s">
        <v>265</v>
      </c>
      <c r="L229" s="4">
        <f t="shared" si="4"/>
        <v>0.33</v>
      </c>
      <c r="M229" s="4" t="s">
        <v>199</v>
      </c>
      <c r="N229" s="4">
        <f t="shared" si="5"/>
        <v>3.23</v>
      </c>
      <c r="O229" s="4">
        <v>0.0</v>
      </c>
      <c r="P229" s="4">
        <f t="shared" si="6"/>
        <v>0</v>
      </c>
      <c r="Q229" s="4">
        <v>3.0</v>
      </c>
      <c r="R229" s="4">
        <v>8.0</v>
      </c>
      <c r="S229" s="4">
        <v>199.0</v>
      </c>
      <c r="T229" s="4">
        <v>683.0</v>
      </c>
      <c r="U229" s="4">
        <v>1958.0</v>
      </c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4">
        <v>4.319703577E9</v>
      </c>
      <c r="B230" s="4" t="s">
        <v>48</v>
      </c>
      <c r="C230" s="4">
        <v>9043.0</v>
      </c>
      <c r="D230" s="4" t="s">
        <v>412</v>
      </c>
      <c r="E230" s="4">
        <f t="shared" si="1"/>
        <v>6.07</v>
      </c>
      <c r="F230" s="4" t="s">
        <v>412</v>
      </c>
      <c r="G230" s="4">
        <f t="shared" si="2"/>
        <v>6.07</v>
      </c>
      <c r="H230" s="4">
        <v>0.0</v>
      </c>
      <c r="I230" s="4" t="s">
        <v>124</v>
      </c>
      <c r="J230" s="4">
        <f t="shared" si="3"/>
        <v>0.25</v>
      </c>
      <c r="K230" s="4" t="s">
        <v>413</v>
      </c>
      <c r="L230" s="4">
        <f t="shared" si="4"/>
        <v>0.43</v>
      </c>
      <c r="M230" s="4" t="s">
        <v>414</v>
      </c>
      <c r="N230" s="4">
        <f t="shared" si="5"/>
        <v>5.37</v>
      </c>
      <c r="O230" s="4">
        <v>0.0</v>
      </c>
      <c r="P230" s="4">
        <f t="shared" si="6"/>
        <v>0</v>
      </c>
      <c r="Q230" s="4">
        <v>4.0</v>
      </c>
      <c r="R230" s="4">
        <v>12.0</v>
      </c>
      <c r="S230" s="4">
        <v>244.0</v>
      </c>
      <c r="T230" s="4">
        <v>702.0</v>
      </c>
      <c r="U230" s="4">
        <v>2141.0</v>
      </c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4">
        <v>4.319703577E9</v>
      </c>
      <c r="B231" s="4" t="s">
        <v>54</v>
      </c>
      <c r="C231" s="4">
        <v>8144.0</v>
      </c>
      <c r="D231" s="4" t="s">
        <v>181</v>
      </c>
      <c r="E231" s="4">
        <f t="shared" si="1"/>
        <v>5.46</v>
      </c>
      <c r="F231" s="4" t="s">
        <v>181</v>
      </c>
      <c r="G231" s="4">
        <f t="shared" si="2"/>
        <v>5.46</v>
      </c>
      <c r="H231" s="4">
        <v>0.0</v>
      </c>
      <c r="I231" s="4" t="s">
        <v>124</v>
      </c>
      <c r="J231" s="4">
        <f t="shared" si="3"/>
        <v>0.25</v>
      </c>
      <c r="K231" s="4" t="s">
        <v>159</v>
      </c>
      <c r="L231" s="4">
        <f t="shared" si="4"/>
        <v>0.61</v>
      </c>
      <c r="M231" s="4" t="s">
        <v>46</v>
      </c>
      <c r="N231" s="4">
        <f t="shared" si="5"/>
        <v>4.61</v>
      </c>
      <c r="O231" s="4">
        <v>0.0</v>
      </c>
      <c r="P231" s="4">
        <f t="shared" si="6"/>
        <v>0</v>
      </c>
      <c r="Q231" s="4">
        <v>4.0</v>
      </c>
      <c r="R231" s="4">
        <v>17.0</v>
      </c>
      <c r="S231" s="4">
        <v>247.0</v>
      </c>
      <c r="T231" s="4">
        <v>1125.0</v>
      </c>
      <c r="U231" s="4">
        <v>2129.0</v>
      </c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4">
        <v>4.319703577E9</v>
      </c>
      <c r="B232" s="4">
        <v>42373.0</v>
      </c>
      <c r="C232" s="4">
        <v>9343.0</v>
      </c>
      <c r="D232" s="4" t="s">
        <v>415</v>
      </c>
      <c r="E232" s="4">
        <f t="shared" si="1"/>
        <v>6.27</v>
      </c>
      <c r="F232" s="4" t="s">
        <v>415</v>
      </c>
      <c r="G232" s="4">
        <f t="shared" si="2"/>
        <v>6.27</v>
      </c>
      <c r="H232" s="4">
        <v>0.0</v>
      </c>
      <c r="I232" s="4" t="s">
        <v>416</v>
      </c>
      <c r="J232" s="4">
        <f t="shared" si="3"/>
        <v>0.96</v>
      </c>
      <c r="K232" s="4" t="s">
        <v>417</v>
      </c>
      <c r="L232" s="4">
        <f t="shared" si="4"/>
        <v>0.85</v>
      </c>
      <c r="M232" s="4" t="s">
        <v>418</v>
      </c>
      <c r="N232" s="4">
        <f t="shared" si="5"/>
        <v>4.46</v>
      </c>
      <c r="O232" s="4">
        <v>0.0</v>
      </c>
      <c r="P232" s="4">
        <f t="shared" si="6"/>
        <v>0</v>
      </c>
      <c r="Q232" s="4">
        <v>14.0</v>
      </c>
      <c r="R232" s="4">
        <v>20.0</v>
      </c>
      <c r="S232" s="4">
        <v>268.0</v>
      </c>
      <c r="T232" s="4">
        <v>654.0</v>
      </c>
      <c r="U232" s="4">
        <v>2216.0</v>
      </c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4">
        <v>4.319703577E9</v>
      </c>
      <c r="B233" s="4">
        <v>42404.0</v>
      </c>
      <c r="C233" s="4">
        <v>8405.0</v>
      </c>
      <c r="D233" s="4" t="s">
        <v>419</v>
      </c>
      <c r="E233" s="4">
        <f t="shared" si="1"/>
        <v>5.66</v>
      </c>
      <c r="F233" s="4" t="s">
        <v>419</v>
      </c>
      <c r="G233" s="4">
        <f t="shared" si="2"/>
        <v>5.66</v>
      </c>
      <c r="H233" s="4">
        <v>0.0</v>
      </c>
      <c r="I233" s="4" t="s">
        <v>101</v>
      </c>
      <c r="J233" s="4">
        <f t="shared" si="3"/>
        <v>1.13</v>
      </c>
      <c r="K233" s="4" t="s">
        <v>270</v>
      </c>
      <c r="L233" s="4">
        <f t="shared" si="4"/>
        <v>0.19</v>
      </c>
      <c r="M233" s="4" t="s">
        <v>165</v>
      </c>
      <c r="N233" s="4">
        <f t="shared" si="5"/>
        <v>4.34</v>
      </c>
      <c r="O233" s="4">
        <v>0.0</v>
      </c>
      <c r="P233" s="4">
        <f t="shared" si="6"/>
        <v>0</v>
      </c>
      <c r="Q233" s="4">
        <v>15.0</v>
      </c>
      <c r="R233" s="4">
        <v>4.0</v>
      </c>
      <c r="S233" s="4">
        <v>257.0</v>
      </c>
      <c r="T233" s="4">
        <v>621.0</v>
      </c>
      <c r="U233" s="4">
        <v>2154.0</v>
      </c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4">
        <v>4.319703577E9</v>
      </c>
      <c r="B234" s="4">
        <v>42433.0</v>
      </c>
      <c r="C234" s="4">
        <v>8223.0</v>
      </c>
      <c r="D234" s="4" t="s">
        <v>420</v>
      </c>
      <c r="E234" s="4">
        <f t="shared" si="1"/>
        <v>5.52</v>
      </c>
      <c r="F234" s="4" t="s">
        <v>420</v>
      </c>
      <c r="G234" s="4">
        <f t="shared" si="2"/>
        <v>5.52</v>
      </c>
      <c r="H234" s="4">
        <v>0.0</v>
      </c>
      <c r="I234" s="4" t="s">
        <v>271</v>
      </c>
      <c r="J234" s="4">
        <f t="shared" si="3"/>
        <v>0.8</v>
      </c>
      <c r="K234" s="4" t="s">
        <v>369</v>
      </c>
      <c r="L234" s="4">
        <f t="shared" si="4"/>
        <v>1.51</v>
      </c>
      <c r="M234" s="4" t="s">
        <v>295</v>
      </c>
      <c r="N234" s="4">
        <f t="shared" si="5"/>
        <v>3.21</v>
      </c>
      <c r="O234" s="4">
        <v>0.0</v>
      </c>
      <c r="P234" s="4">
        <f t="shared" si="6"/>
        <v>0</v>
      </c>
      <c r="Q234" s="4">
        <v>12.0</v>
      </c>
      <c r="R234" s="4">
        <v>37.0</v>
      </c>
      <c r="S234" s="4">
        <v>257.0</v>
      </c>
      <c r="T234" s="4">
        <v>551.0</v>
      </c>
      <c r="U234" s="4">
        <v>2178.0</v>
      </c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4">
        <v>4.319703577E9</v>
      </c>
      <c r="B235" s="4">
        <v>42464.0</v>
      </c>
      <c r="C235" s="4">
        <v>10067.0</v>
      </c>
      <c r="D235" s="4" t="s">
        <v>421</v>
      </c>
      <c r="E235" s="4">
        <f t="shared" si="1"/>
        <v>6.76</v>
      </c>
      <c r="F235" s="4" t="s">
        <v>421</v>
      </c>
      <c r="G235" s="4">
        <f t="shared" si="2"/>
        <v>6.76</v>
      </c>
      <c r="H235" s="4">
        <v>0.0</v>
      </c>
      <c r="I235" s="4" t="s">
        <v>174</v>
      </c>
      <c r="J235" s="4">
        <f t="shared" si="3"/>
        <v>0.36</v>
      </c>
      <c r="K235" s="4" t="s">
        <v>243</v>
      </c>
      <c r="L235" s="4">
        <f t="shared" si="4"/>
        <v>1.42</v>
      </c>
      <c r="M235" s="4" t="s">
        <v>410</v>
      </c>
      <c r="N235" s="4">
        <f t="shared" si="5"/>
        <v>4.97</v>
      </c>
      <c r="O235" s="4">
        <v>0.0</v>
      </c>
      <c r="P235" s="4">
        <f t="shared" si="6"/>
        <v>0</v>
      </c>
      <c r="Q235" s="4">
        <v>5.0</v>
      </c>
      <c r="R235" s="4">
        <v>39.0</v>
      </c>
      <c r="S235" s="4">
        <v>313.0</v>
      </c>
      <c r="T235" s="4">
        <v>578.0</v>
      </c>
      <c r="U235" s="4">
        <v>2308.0</v>
      </c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4">
        <v>4.319703577E9</v>
      </c>
      <c r="B236" s="4">
        <v>42494.0</v>
      </c>
      <c r="C236" s="4">
        <v>8359.0</v>
      </c>
      <c r="D236" s="4" t="s">
        <v>325</v>
      </c>
      <c r="E236" s="4">
        <f t="shared" si="1"/>
        <v>5.63</v>
      </c>
      <c r="F236" s="4" t="s">
        <v>325</v>
      </c>
      <c r="G236" s="4">
        <f t="shared" si="2"/>
        <v>5.63</v>
      </c>
      <c r="H236" s="4">
        <v>0.0</v>
      </c>
      <c r="I236" s="4" t="s">
        <v>411</v>
      </c>
      <c r="J236" s="4">
        <f t="shared" si="3"/>
        <v>0.23</v>
      </c>
      <c r="K236" s="4" t="s">
        <v>103</v>
      </c>
      <c r="L236" s="4">
        <f t="shared" si="4"/>
        <v>0.53</v>
      </c>
      <c r="M236" s="4" t="s">
        <v>422</v>
      </c>
      <c r="N236" s="4">
        <f t="shared" si="5"/>
        <v>4.87</v>
      </c>
      <c r="O236" s="4">
        <v>0.0</v>
      </c>
      <c r="P236" s="4">
        <f t="shared" si="6"/>
        <v>0</v>
      </c>
      <c r="Q236" s="4">
        <v>3.0</v>
      </c>
      <c r="R236" s="4">
        <v>14.0</v>
      </c>
      <c r="S236" s="4">
        <v>311.0</v>
      </c>
      <c r="T236" s="4">
        <v>638.0</v>
      </c>
      <c r="U236" s="4">
        <v>2201.0</v>
      </c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4">
        <v>4.319703577E9</v>
      </c>
      <c r="B237" s="4">
        <v>42525.0</v>
      </c>
      <c r="C237" s="4">
        <v>10946.0</v>
      </c>
      <c r="D237" s="4" t="s">
        <v>423</v>
      </c>
      <c r="E237" s="4">
        <f t="shared" si="1"/>
        <v>7.35</v>
      </c>
      <c r="F237" s="4" t="s">
        <v>423</v>
      </c>
      <c r="G237" s="4">
        <f t="shared" si="2"/>
        <v>7.35</v>
      </c>
      <c r="H237" s="4">
        <v>0.0</v>
      </c>
      <c r="I237" s="4" t="s">
        <v>406</v>
      </c>
      <c r="J237" s="4">
        <f t="shared" si="3"/>
        <v>0.54</v>
      </c>
      <c r="K237" s="4" t="s">
        <v>395</v>
      </c>
      <c r="L237" s="4">
        <f t="shared" si="4"/>
        <v>2.09</v>
      </c>
      <c r="M237" s="4" t="s">
        <v>210</v>
      </c>
      <c r="N237" s="4">
        <f t="shared" si="5"/>
        <v>4.72</v>
      </c>
      <c r="O237" s="4">
        <v>0.0</v>
      </c>
      <c r="P237" s="4">
        <f t="shared" si="6"/>
        <v>0</v>
      </c>
      <c r="Q237" s="4">
        <v>8.0</v>
      </c>
      <c r="R237" s="4">
        <v>51.0</v>
      </c>
      <c r="S237" s="4">
        <v>308.0</v>
      </c>
      <c r="T237" s="4">
        <v>569.0</v>
      </c>
      <c r="U237" s="4">
        <v>2341.0</v>
      </c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4">
        <v>4.319703577E9</v>
      </c>
      <c r="B238" s="4">
        <v>42555.0</v>
      </c>
      <c r="C238" s="4">
        <v>9130.0</v>
      </c>
      <c r="D238" s="4" t="s">
        <v>424</v>
      </c>
      <c r="E238" s="4">
        <f t="shared" si="1"/>
        <v>6.15</v>
      </c>
      <c r="F238" s="4" t="s">
        <v>424</v>
      </c>
      <c r="G238" s="4">
        <f t="shared" si="2"/>
        <v>6.15</v>
      </c>
      <c r="H238" s="4">
        <v>0.0</v>
      </c>
      <c r="I238" s="4" t="s">
        <v>385</v>
      </c>
      <c r="J238" s="4">
        <f t="shared" si="3"/>
        <v>0.5</v>
      </c>
      <c r="K238" s="4" t="s">
        <v>425</v>
      </c>
      <c r="L238" s="4">
        <f t="shared" si="4"/>
        <v>0.38</v>
      </c>
      <c r="M238" s="4" t="s">
        <v>426</v>
      </c>
      <c r="N238" s="4">
        <f t="shared" si="5"/>
        <v>5.27</v>
      </c>
      <c r="O238" s="4">
        <v>0.0</v>
      </c>
      <c r="P238" s="4">
        <f t="shared" si="6"/>
        <v>0</v>
      </c>
      <c r="Q238" s="4">
        <v>7.0</v>
      </c>
      <c r="R238" s="4">
        <v>11.0</v>
      </c>
      <c r="S238" s="4">
        <v>304.0</v>
      </c>
      <c r="T238" s="4">
        <v>668.0</v>
      </c>
      <c r="U238" s="4">
        <v>2236.0</v>
      </c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4">
        <v>4.319703577E9</v>
      </c>
      <c r="B239" s="4">
        <v>42586.0</v>
      </c>
      <c r="C239" s="4">
        <v>6544.0</v>
      </c>
      <c r="D239" s="4" t="s">
        <v>427</v>
      </c>
      <c r="E239" s="4">
        <f t="shared" si="1"/>
        <v>4.41</v>
      </c>
      <c r="F239" s="4" t="s">
        <v>427</v>
      </c>
      <c r="G239" s="4">
        <f t="shared" si="2"/>
        <v>4.41</v>
      </c>
      <c r="H239" s="4">
        <v>0.0</v>
      </c>
      <c r="I239" s="4" t="s">
        <v>387</v>
      </c>
      <c r="J239" s="4">
        <f t="shared" si="3"/>
        <v>0.29</v>
      </c>
      <c r="K239" s="4" t="s">
        <v>354</v>
      </c>
      <c r="L239" s="4">
        <f t="shared" si="4"/>
        <v>0.26</v>
      </c>
      <c r="M239" s="4" t="s">
        <v>428</v>
      </c>
      <c r="N239" s="4">
        <f t="shared" si="5"/>
        <v>3.86</v>
      </c>
      <c r="O239" s="4">
        <v>0.0</v>
      </c>
      <c r="P239" s="4">
        <f t="shared" si="6"/>
        <v>0</v>
      </c>
      <c r="Q239" s="4">
        <v>4.0</v>
      </c>
      <c r="R239" s="4">
        <v>6.0</v>
      </c>
      <c r="S239" s="4">
        <v>276.0</v>
      </c>
      <c r="T239" s="4">
        <v>1132.0</v>
      </c>
      <c r="U239" s="4">
        <v>2069.0</v>
      </c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4">
        <v>4.319703577E9</v>
      </c>
      <c r="B240" s="4">
        <v>42617.0</v>
      </c>
      <c r="C240" s="4">
        <v>0.0</v>
      </c>
      <c r="D240" s="4">
        <v>0.0</v>
      </c>
      <c r="E240" s="4">
        <f t="shared" si="1"/>
        <v>0</v>
      </c>
      <c r="F240" s="4">
        <v>0.0</v>
      </c>
      <c r="G240" s="4">
        <f t="shared" si="2"/>
        <v>0</v>
      </c>
      <c r="H240" s="4">
        <v>0.0</v>
      </c>
      <c r="I240" s="4">
        <v>0.0</v>
      </c>
      <c r="J240" s="4">
        <f t="shared" si="3"/>
        <v>0</v>
      </c>
      <c r="K240" s="4">
        <v>0.0</v>
      </c>
      <c r="L240" s="4">
        <f t="shared" si="4"/>
        <v>0</v>
      </c>
      <c r="M240" s="4">
        <v>0.0</v>
      </c>
      <c r="N240" s="4">
        <f t="shared" si="5"/>
        <v>0</v>
      </c>
      <c r="O240" s="4">
        <v>0.0</v>
      </c>
      <c r="P240" s="4">
        <f t="shared" si="6"/>
        <v>0</v>
      </c>
      <c r="Q240" s="4">
        <v>0.0</v>
      </c>
      <c r="R240" s="4">
        <v>0.0</v>
      </c>
      <c r="S240" s="4">
        <v>0.0</v>
      </c>
      <c r="T240" s="4">
        <v>1440.0</v>
      </c>
      <c r="U240" s="4">
        <v>0.0</v>
      </c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4">
        <v>4.388161847E9</v>
      </c>
      <c r="B241" s="4" t="s">
        <v>42</v>
      </c>
      <c r="C241" s="4">
        <v>0.0</v>
      </c>
      <c r="D241" s="4">
        <v>0.0</v>
      </c>
      <c r="E241" s="4">
        <f t="shared" si="1"/>
        <v>0</v>
      </c>
      <c r="F241" s="4">
        <v>0.0</v>
      </c>
      <c r="G241" s="4">
        <f t="shared" si="2"/>
        <v>0</v>
      </c>
      <c r="H241" s="4">
        <v>0.0</v>
      </c>
      <c r="I241" s="4">
        <v>0.0</v>
      </c>
      <c r="J241" s="4">
        <f t="shared" si="3"/>
        <v>0</v>
      </c>
      <c r="K241" s="4">
        <v>0.0</v>
      </c>
      <c r="L241" s="4">
        <f t="shared" si="4"/>
        <v>0</v>
      </c>
      <c r="M241" s="4">
        <v>0.0</v>
      </c>
      <c r="N241" s="4">
        <f t="shared" si="5"/>
        <v>0</v>
      </c>
      <c r="O241" s="4">
        <v>0.0</v>
      </c>
      <c r="P241" s="4">
        <f t="shared" si="6"/>
        <v>0</v>
      </c>
      <c r="Q241" s="4">
        <v>0.0</v>
      </c>
      <c r="R241" s="4">
        <v>0.0</v>
      </c>
      <c r="S241" s="4">
        <v>0.0</v>
      </c>
      <c r="T241" s="4">
        <v>1440.0</v>
      </c>
      <c r="U241" s="4">
        <v>1878.0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4">
        <v>4.388161847E9</v>
      </c>
      <c r="B242" s="4" t="s">
        <v>48</v>
      </c>
      <c r="C242" s="4">
        <v>0.0</v>
      </c>
      <c r="D242" s="4">
        <v>0.0</v>
      </c>
      <c r="E242" s="4">
        <f t="shared" si="1"/>
        <v>0</v>
      </c>
      <c r="F242" s="4">
        <v>0.0</v>
      </c>
      <c r="G242" s="4">
        <f t="shared" si="2"/>
        <v>0</v>
      </c>
      <c r="H242" s="4">
        <v>0.0</v>
      </c>
      <c r="I242" s="4">
        <v>0.0</v>
      </c>
      <c r="J242" s="4">
        <f t="shared" si="3"/>
        <v>0</v>
      </c>
      <c r="K242" s="4">
        <v>0.0</v>
      </c>
      <c r="L242" s="4">
        <f t="shared" si="4"/>
        <v>0</v>
      </c>
      <c r="M242" s="4">
        <v>0.0</v>
      </c>
      <c r="N242" s="4">
        <f t="shared" si="5"/>
        <v>0</v>
      </c>
      <c r="O242" s="4">
        <v>0.0</v>
      </c>
      <c r="P242" s="4">
        <f t="shared" si="6"/>
        <v>0</v>
      </c>
      <c r="Q242" s="4">
        <v>0.0</v>
      </c>
      <c r="R242" s="4">
        <v>0.0</v>
      </c>
      <c r="S242" s="4">
        <v>0.0</v>
      </c>
      <c r="T242" s="4">
        <v>1440.0</v>
      </c>
      <c r="U242" s="4">
        <v>1878.0</v>
      </c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4">
        <v>4.388161847E9</v>
      </c>
      <c r="B243" s="4" t="s">
        <v>54</v>
      </c>
      <c r="C243" s="4">
        <v>0.0</v>
      </c>
      <c r="D243" s="4">
        <v>0.0</v>
      </c>
      <c r="E243" s="4">
        <f t="shared" si="1"/>
        <v>0</v>
      </c>
      <c r="F243" s="4">
        <v>0.0</v>
      </c>
      <c r="G243" s="4">
        <f t="shared" si="2"/>
        <v>0</v>
      </c>
      <c r="H243" s="4">
        <v>0.0</v>
      </c>
      <c r="I243" s="4">
        <v>0.0</v>
      </c>
      <c r="J243" s="4">
        <f t="shared" si="3"/>
        <v>0</v>
      </c>
      <c r="K243" s="4">
        <v>0.0</v>
      </c>
      <c r="L243" s="4">
        <f t="shared" si="4"/>
        <v>0</v>
      </c>
      <c r="M243" s="4">
        <v>0.0</v>
      </c>
      <c r="N243" s="4">
        <f t="shared" si="5"/>
        <v>0</v>
      </c>
      <c r="O243" s="4">
        <v>0.0</v>
      </c>
      <c r="P243" s="4">
        <f t="shared" si="6"/>
        <v>0</v>
      </c>
      <c r="Q243" s="4">
        <v>0.0</v>
      </c>
      <c r="R243" s="4">
        <v>0.0</v>
      </c>
      <c r="S243" s="4">
        <v>0.0</v>
      </c>
      <c r="T243" s="4">
        <v>1440.0</v>
      </c>
      <c r="U243" s="4">
        <v>1878.0</v>
      </c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4">
        <v>4.388161847E9</v>
      </c>
      <c r="B244" s="4">
        <v>42373.0</v>
      </c>
      <c r="C244" s="4">
        <v>0.0</v>
      </c>
      <c r="D244" s="4">
        <v>0.0</v>
      </c>
      <c r="E244" s="4">
        <f t="shared" si="1"/>
        <v>0</v>
      </c>
      <c r="F244" s="4">
        <v>0.0</v>
      </c>
      <c r="G244" s="4">
        <f t="shared" si="2"/>
        <v>0</v>
      </c>
      <c r="H244" s="4">
        <v>0.0</v>
      </c>
      <c r="I244" s="4">
        <v>0.0</v>
      </c>
      <c r="J244" s="4">
        <f t="shared" si="3"/>
        <v>0</v>
      </c>
      <c r="K244" s="4">
        <v>0.0</v>
      </c>
      <c r="L244" s="4">
        <f t="shared" si="4"/>
        <v>0</v>
      </c>
      <c r="M244" s="4">
        <v>0.0</v>
      </c>
      <c r="N244" s="4">
        <f t="shared" si="5"/>
        <v>0</v>
      </c>
      <c r="O244" s="4">
        <v>0.0</v>
      </c>
      <c r="P244" s="4">
        <f t="shared" si="6"/>
        <v>0</v>
      </c>
      <c r="Q244" s="4">
        <v>0.0</v>
      </c>
      <c r="R244" s="4">
        <v>0.0</v>
      </c>
      <c r="S244" s="4">
        <v>0.0</v>
      </c>
      <c r="T244" s="4">
        <v>1440.0</v>
      </c>
      <c r="U244" s="4">
        <v>1878.0</v>
      </c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4">
        <v>4.388161847E9</v>
      </c>
      <c r="B245" s="4">
        <v>42404.0</v>
      </c>
      <c r="C245" s="4">
        <v>0.0</v>
      </c>
      <c r="D245" s="4">
        <v>0.0</v>
      </c>
      <c r="E245" s="4">
        <f t="shared" si="1"/>
        <v>0</v>
      </c>
      <c r="F245" s="4">
        <v>0.0</v>
      </c>
      <c r="G245" s="4">
        <f t="shared" si="2"/>
        <v>0</v>
      </c>
      <c r="H245" s="4">
        <v>0.0</v>
      </c>
      <c r="I245" s="4">
        <v>0.0</v>
      </c>
      <c r="J245" s="4">
        <f t="shared" si="3"/>
        <v>0</v>
      </c>
      <c r="K245" s="4">
        <v>0.0</v>
      </c>
      <c r="L245" s="4">
        <f t="shared" si="4"/>
        <v>0</v>
      </c>
      <c r="M245" s="4">
        <v>0.0</v>
      </c>
      <c r="N245" s="4">
        <f t="shared" si="5"/>
        <v>0</v>
      </c>
      <c r="O245" s="4">
        <v>0.0</v>
      </c>
      <c r="P245" s="4">
        <f t="shared" si="6"/>
        <v>0</v>
      </c>
      <c r="Q245" s="4">
        <v>0.0</v>
      </c>
      <c r="R245" s="4">
        <v>0.0</v>
      </c>
      <c r="S245" s="4">
        <v>0.0</v>
      </c>
      <c r="T245" s="4">
        <v>1440.0</v>
      </c>
      <c r="U245" s="4">
        <v>1878.0</v>
      </c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4">
        <v>4.388161847E9</v>
      </c>
      <c r="B246" s="4">
        <v>42433.0</v>
      </c>
      <c r="C246" s="4">
        <v>0.0</v>
      </c>
      <c r="D246" s="4">
        <v>0.0</v>
      </c>
      <c r="E246" s="4">
        <f t="shared" si="1"/>
        <v>0</v>
      </c>
      <c r="F246" s="4">
        <v>0.0</v>
      </c>
      <c r="G246" s="4">
        <f t="shared" si="2"/>
        <v>0</v>
      </c>
      <c r="H246" s="4">
        <v>0.0</v>
      </c>
      <c r="I246" s="4">
        <v>0.0</v>
      </c>
      <c r="J246" s="4">
        <f t="shared" si="3"/>
        <v>0</v>
      </c>
      <c r="K246" s="4">
        <v>0.0</v>
      </c>
      <c r="L246" s="4">
        <f t="shared" si="4"/>
        <v>0</v>
      </c>
      <c r="M246" s="4">
        <v>0.0</v>
      </c>
      <c r="N246" s="4">
        <f t="shared" si="5"/>
        <v>0</v>
      </c>
      <c r="O246" s="4">
        <v>0.0</v>
      </c>
      <c r="P246" s="4">
        <f t="shared" si="6"/>
        <v>0</v>
      </c>
      <c r="Q246" s="4">
        <v>0.0</v>
      </c>
      <c r="R246" s="4">
        <v>0.0</v>
      </c>
      <c r="S246" s="4">
        <v>0.0</v>
      </c>
      <c r="T246" s="4">
        <v>1440.0</v>
      </c>
      <c r="U246" s="4">
        <v>1878.0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4">
        <v>4.388161847E9</v>
      </c>
      <c r="B247" s="4">
        <v>42464.0</v>
      </c>
      <c r="C247" s="4">
        <v>0.0</v>
      </c>
      <c r="D247" s="4">
        <v>0.0</v>
      </c>
      <c r="E247" s="4">
        <f t="shared" si="1"/>
        <v>0</v>
      </c>
      <c r="F247" s="4">
        <v>0.0</v>
      </c>
      <c r="G247" s="4">
        <f t="shared" si="2"/>
        <v>0</v>
      </c>
      <c r="H247" s="4">
        <v>0.0</v>
      </c>
      <c r="I247" s="4">
        <v>0.0</v>
      </c>
      <c r="J247" s="4">
        <f t="shared" si="3"/>
        <v>0</v>
      </c>
      <c r="K247" s="4">
        <v>0.0</v>
      </c>
      <c r="L247" s="4">
        <f t="shared" si="4"/>
        <v>0</v>
      </c>
      <c r="M247" s="4">
        <v>0.0</v>
      </c>
      <c r="N247" s="4">
        <f t="shared" si="5"/>
        <v>0</v>
      </c>
      <c r="O247" s="4">
        <v>0.0</v>
      </c>
      <c r="P247" s="4">
        <f t="shared" si="6"/>
        <v>0</v>
      </c>
      <c r="Q247" s="4">
        <v>0.0</v>
      </c>
      <c r="R247" s="4">
        <v>0.0</v>
      </c>
      <c r="S247" s="4">
        <v>0.0</v>
      </c>
      <c r="T247" s="4">
        <v>1440.0</v>
      </c>
      <c r="U247" s="4">
        <v>1878.0</v>
      </c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4">
        <v>4.388161847E9</v>
      </c>
      <c r="B248" s="4">
        <v>42494.0</v>
      </c>
      <c r="C248" s="4">
        <v>0.0</v>
      </c>
      <c r="D248" s="4">
        <v>0.0</v>
      </c>
      <c r="E248" s="4">
        <f t="shared" si="1"/>
        <v>0</v>
      </c>
      <c r="F248" s="4">
        <v>0.0</v>
      </c>
      <c r="G248" s="4">
        <f t="shared" si="2"/>
        <v>0</v>
      </c>
      <c r="H248" s="4">
        <v>0.0</v>
      </c>
      <c r="I248" s="4">
        <v>0.0</v>
      </c>
      <c r="J248" s="4">
        <f t="shared" si="3"/>
        <v>0</v>
      </c>
      <c r="K248" s="4">
        <v>0.0</v>
      </c>
      <c r="L248" s="4">
        <f t="shared" si="4"/>
        <v>0</v>
      </c>
      <c r="M248" s="4">
        <v>0.0</v>
      </c>
      <c r="N248" s="4">
        <f t="shared" si="5"/>
        <v>0</v>
      </c>
      <c r="O248" s="4">
        <v>0.0</v>
      </c>
      <c r="P248" s="4">
        <f t="shared" si="6"/>
        <v>0</v>
      </c>
      <c r="Q248" s="4">
        <v>0.0</v>
      </c>
      <c r="R248" s="4">
        <v>0.0</v>
      </c>
      <c r="S248" s="4">
        <v>0.0</v>
      </c>
      <c r="T248" s="4">
        <v>994.0</v>
      </c>
      <c r="U248" s="4">
        <v>1296.0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4">
        <v>4.445114986E9</v>
      </c>
      <c r="B249" s="4" t="s">
        <v>42</v>
      </c>
      <c r="C249" s="4">
        <v>2303.0</v>
      </c>
      <c r="D249" s="4" t="s">
        <v>173</v>
      </c>
      <c r="E249" s="4">
        <f t="shared" si="1"/>
        <v>1.55</v>
      </c>
      <c r="F249" s="4" t="s">
        <v>173</v>
      </c>
      <c r="G249" s="4">
        <f t="shared" si="2"/>
        <v>1.55</v>
      </c>
      <c r="H249" s="4">
        <v>0.0</v>
      </c>
      <c r="I249" s="4">
        <v>0.0</v>
      </c>
      <c r="J249" s="4">
        <f t="shared" si="3"/>
        <v>0</v>
      </c>
      <c r="K249" s="4">
        <v>0.0</v>
      </c>
      <c r="L249" s="4">
        <f t="shared" si="4"/>
        <v>0</v>
      </c>
      <c r="M249" s="4" t="s">
        <v>173</v>
      </c>
      <c r="N249" s="4">
        <f t="shared" si="5"/>
        <v>1.55</v>
      </c>
      <c r="O249" s="4">
        <v>0.0</v>
      </c>
      <c r="P249" s="4">
        <f t="shared" si="6"/>
        <v>0</v>
      </c>
      <c r="Q249" s="4">
        <v>0.0</v>
      </c>
      <c r="R249" s="4">
        <v>0.0</v>
      </c>
      <c r="S249" s="4">
        <v>155.0</v>
      </c>
      <c r="T249" s="4">
        <v>807.0</v>
      </c>
      <c r="U249" s="4">
        <v>2010.0</v>
      </c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4">
        <v>4.445114986E9</v>
      </c>
      <c r="B250" s="4" t="s">
        <v>48</v>
      </c>
      <c r="C250" s="4">
        <v>2600.0</v>
      </c>
      <c r="D250" s="4" t="s">
        <v>331</v>
      </c>
      <c r="E250" s="4">
        <f t="shared" si="1"/>
        <v>1.74</v>
      </c>
      <c r="F250" s="4" t="s">
        <v>331</v>
      </c>
      <c r="G250" s="4">
        <f t="shared" si="2"/>
        <v>1.74</v>
      </c>
      <c r="H250" s="4">
        <v>0.0</v>
      </c>
      <c r="I250" s="4">
        <v>0.0</v>
      </c>
      <c r="J250" s="4">
        <f t="shared" si="3"/>
        <v>0</v>
      </c>
      <c r="K250" s="4">
        <v>0.0</v>
      </c>
      <c r="L250" s="4">
        <f t="shared" si="4"/>
        <v>0</v>
      </c>
      <c r="M250" s="4" t="s">
        <v>331</v>
      </c>
      <c r="N250" s="4">
        <f t="shared" si="5"/>
        <v>1.74</v>
      </c>
      <c r="O250" s="4">
        <v>0.0</v>
      </c>
      <c r="P250" s="4">
        <f t="shared" si="6"/>
        <v>0</v>
      </c>
      <c r="Q250" s="4">
        <v>0.0</v>
      </c>
      <c r="R250" s="4">
        <v>0.0</v>
      </c>
      <c r="S250" s="4">
        <v>163.0</v>
      </c>
      <c r="T250" s="4">
        <v>1277.0</v>
      </c>
      <c r="U250" s="4">
        <v>2032.0</v>
      </c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4">
        <v>4.445114986E9</v>
      </c>
      <c r="B251" s="4" t="s">
        <v>54</v>
      </c>
      <c r="C251" s="4">
        <v>4804.0</v>
      </c>
      <c r="D251" s="4" t="s">
        <v>288</v>
      </c>
      <c r="E251" s="4">
        <f t="shared" si="1"/>
        <v>3.22</v>
      </c>
      <c r="F251" s="4" t="s">
        <v>288</v>
      </c>
      <c r="G251" s="4">
        <f t="shared" si="2"/>
        <v>3.22</v>
      </c>
      <c r="H251" s="4">
        <v>0.0</v>
      </c>
      <c r="I251" s="4">
        <v>0.0</v>
      </c>
      <c r="J251" s="4">
        <f t="shared" si="3"/>
        <v>0</v>
      </c>
      <c r="K251" s="4">
        <v>0.0</v>
      </c>
      <c r="L251" s="4">
        <f t="shared" si="4"/>
        <v>0</v>
      </c>
      <c r="M251" s="4" t="s">
        <v>288</v>
      </c>
      <c r="N251" s="4">
        <f t="shared" si="5"/>
        <v>3.22</v>
      </c>
      <c r="O251" s="4">
        <v>0.0</v>
      </c>
      <c r="P251" s="4">
        <f t="shared" si="6"/>
        <v>0</v>
      </c>
      <c r="Q251" s="4">
        <v>0.0</v>
      </c>
      <c r="R251" s="4">
        <v>0.0</v>
      </c>
      <c r="S251" s="4">
        <v>238.0</v>
      </c>
      <c r="T251" s="4">
        <v>786.0</v>
      </c>
      <c r="U251" s="4">
        <v>2227.0</v>
      </c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4">
        <v>4.445114986E9</v>
      </c>
      <c r="B252" s="4">
        <v>42373.0</v>
      </c>
      <c r="C252" s="4">
        <v>3271.0</v>
      </c>
      <c r="D252" s="4" t="s">
        <v>429</v>
      </c>
      <c r="E252" s="4">
        <f t="shared" si="1"/>
        <v>2.19</v>
      </c>
      <c r="F252" s="4" t="s">
        <v>429</v>
      </c>
      <c r="G252" s="4">
        <f t="shared" si="2"/>
        <v>2.19</v>
      </c>
      <c r="H252" s="4">
        <v>0.0</v>
      </c>
      <c r="I252" s="4">
        <v>0.0</v>
      </c>
      <c r="J252" s="4">
        <f t="shared" si="3"/>
        <v>0</v>
      </c>
      <c r="K252" s="4">
        <v>0.0</v>
      </c>
      <c r="L252" s="4">
        <f t="shared" si="4"/>
        <v>0</v>
      </c>
      <c r="M252" s="4" t="s">
        <v>429</v>
      </c>
      <c r="N252" s="4">
        <f t="shared" si="5"/>
        <v>2.19</v>
      </c>
      <c r="O252" s="4">
        <v>0.0</v>
      </c>
      <c r="P252" s="4">
        <f t="shared" si="6"/>
        <v>0</v>
      </c>
      <c r="Q252" s="4">
        <v>0.0</v>
      </c>
      <c r="R252" s="4">
        <v>0.0</v>
      </c>
      <c r="S252" s="4">
        <v>205.0</v>
      </c>
      <c r="T252" s="4">
        <v>898.0</v>
      </c>
      <c r="U252" s="4">
        <v>2133.0</v>
      </c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4">
        <v>4.445114986E9</v>
      </c>
      <c r="B253" s="4">
        <v>42404.0</v>
      </c>
      <c r="C253" s="4">
        <v>5406.0</v>
      </c>
      <c r="D253" s="4" t="s">
        <v>430</v>
      </c>
      <c r="E253" s="4">
        <f t="shared" si="1"/>
        <v>3.63</v>
      </c>
      <c r="F253" s="4" t="s">
        <v>430</v>
      </c>
      <c r="G253" s="4">
        <f t="shared" si="2"/>
        <v>3.63</v>
      </c>
      <c r="H253" s="4">
        <v>0.0</v>
      </c>
      <c r="I253" s="4">
        <v>0.0</v>
      </c>
      <c r="J253" s="4">
        <f t="shared" si="3"/>
        <v>0</v>
      </c>
      <c r="K253" s="4">
        <v>0.0</v>
      </c>
      <c r="L253" s="4">
        <f t="shared" si="4"/>
        <v>0</v>
      </c>
      <c r="M253" s="4" t="s">
        <v>431</v>
      </c>
      <c r="N253" s="4">
        <f t="shared" si="5"/>
        <v>3.61</v>
      </c>
      <c r="O253" s="4">
        <v>0.0</v>
      </c>
      <c r="P253" s="4">
        <f t="shared" si="6"/>
        <v>0</v>
      </c>
      <c r="Q253" s="4">
        <v>0.0</v>
      </c>
      <c r="R253" s="4">
        <v>0.0</v>
      </c>
      <c r="S253" s="4">
        <v>273.0</v>
      </c>
      <c r="T253" s="4">
        <v>672.0</v>
      </c>
      <c r="U253" s="4">
        <v>2317.0</v>
      </c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4">
        <v>4.445114986E9</v>
      </c>
      <c r="B254" s="4">
        <v>42433.0</v>
      </c>
      <c r="C254" s="4">
        <v>3146.0</v>
      </c>
      <c r="D254" s="4" t="s">
        <v>432</v>
      </c>
      <c r="E254" s="4">
        <f t="shared" si="1"/>
        <v>2.11</v>
      </c>
      <c r="F254" s="4" t="s">
        <v>432</v>
      </c>
      <c r="G254" s="4">
        <f t="shared" si="2"/>
        <v>2.11</v>
      </c>
      <c r="H254" s="4">
        <v>0.0</v>
      </c>
      <c r="I254" s="4">
        <v>0.0</v>
      </c>
      <c r="J254" s="4">
        <f t="shared" si="3"/>
        <v>0</v>
      </c>
      <c r="K254" s="4">
        <v>0.0</v>
      </c>
      <c r="L254" s="4">
        <f t="shared" si="4"/>
        <v>0</v>
      </c>
      <c r="M254" s="4" t="s">
        <v>432</v>
      </c>
      <c r="N254" s="4">
        <f t="shared" si="5"/>
        <v>2.11</v>
      </c>
      <c r="O254" s="4">
        <v>0.0</v>
      </c>
      <c r="P254" s="4">
        <f t="shared" si="6"/>
        <v>0</v>
      </c>
      <c r="Q254" s="4">
        <v>0.0</v>
      </c>
      <c r="R254" s="4">
        <v>0.0</v>
      </c>
      <c r="S254" s="4">
        <v>171.0</v>
      </c>
      <c r="T254" s="4">
        <v>1269.0</v>
      </c>
      <c r="U254" s="4">
        <v>2058.0</v>
      </c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4">
        <v>4.445114986E9</v>
      </c>
      <c r="B255" s="4">
        <v>42464.0</v>
      </c>
      <c r="C255" s="4">
        <v>2422.0</v>
      </c>
      <c r="D255" s="4" t="s">
        <v>172</v>
      </c>
      <c r="E255" s="4">
        <f t="shared" si="1"/>
        <v>1.63</v>
      </c>
      <c r="F255" s="4" t="s">
        <v>172</v>
      </c>
      <c r="G255" s="4">
        <f t="shared" si="2"/>
        <v>1.63</v>
      </c>
      <c r="H255" s="4">
        <v>0.0</v>
      </c>
      <c r="I255" s="4">
        <v>0.0</v>
      </c>
      <c r="J255" s="4">
        <f t="shared" si="3"/>
        <v>0</v>
      </c>
      <c r="K255" s="4">
        <v>0.0</v>
      </c>
      <c r="L255" s="4">
        <f t="shared" si="4"/>
        <v>0</v>
      </c>
      <c r="M255" s="4" t="s">
        <v>172</v>
      </c>
      <c r="N255" s="4">
        <f t="shared" si="5"/>
        <v>1.63</v>
      </c>
      <c r="O255" s="4">
        <v>0.0</v>
      </c>
      <c r="P255" s="4">
        <f t="shared" si="6"/>
        <v>0</v>
      </c>
      <c r="Q255" s="4">
        <v>0.0</v>
      </c>
      <c r="R255" s="4">
        <v>0.0</v>
      </c>
      <c r="S255" s="4">
        <v>110.0</v>
      </c>
      <c r="T255" s="4">
        <v>1330.0</v>
      </c>
      <c r="U255" s="4">
        <v>1935.0</v>
      </c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4">
        <v>4.445114986E9</v>
      </c>
      <c r="B256" s="4">
        <v>42494.0</v>
      </c>
      <c r="C256" s="4">
        <v>4239.0</v>
      </c>
      <c r="D256" s="4" t="s">
        <v>433</v>
      </c>
      <c r="E256" s="4">
        <f t="shared" si="1"/>
        <v>2.84</v>
      </c>
      <c r="F256" s="4" t="s">
        <v>433</v>
      </c>
      <c r="G256" s="4">
        <f t="shared" si="2"/>
        <v>2.84</v>
      </c>
      <c r="H256" s="4">
        <v>0.0</v>
      </c>
      <c r="I256" s="4" t="s">
        <v>224</v>
      </c>
      <c r="J256" s="4">
        <f t="shared" si="3"/>
        <v>0.06</v>
      </c>
      <c r="K256" s="4" t="s">
        <v>394</v>
      </c>
      <c r="L256" s="4">
        <f t="shared" si="4"/>
        <v>0.24</v>
      </c>
      <c r="M256" s="4" t="s">
        <v>434</v>
      </c>
      <c r="N256" s="4">
        <f t="shared" si="5"/>
        <v>2.53</v>
      </c>
      <c r="O256" s="4">
        <v>0.0</v>
      </c>
      <c r="P256" s="4">
        <f t="shared" si="6"/>
        <v>0</v>
      </c>
      <c r="Q256" s="4">
        <v>1.0</v>
      </c>
      <c r="R256" s="4">
        <v>6.0</v>
      </c>
      <c r="S256" s="4">
        <v>235.0</v>
      </c>
      <c r="T256" s="4">
        <v>702.0</v>
      </c>
      <c r="U256" s="4">
        <v>2217.0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4">
        <v>4.445114986E9</v>
      </c>
      <c r="B257" s="4">
        <v>42525.0</v>
      </c>
      <c r="C257" s="4">
        <v>6911.0</v>
      </c>
      <c r="D257" s="4" t="s">
        <v>362</v>
      </c>
      <c r="E257" s="4">
        <f t="shared" si="1"/>
        <v>4.78</v>
      </c>
      <c r="F257" s="4" t="s">
        <v>362</v>
      </c>
      <c r="G257" s="4">
        <f t="shared" si="2"/>
        <v>4.78</v>
      </c>
      <c r="H257" s="4">
        <v>0.0</v>
      </c>
      <c r="I257" s="4" t="s">
        <v>120</v>
      </c>
      <c r="J257" s="4">
        <f t="shared" si="3"/>
        <v>2.32</v>
      </c>
      <c r="K257" s="4" t="s">
        <v>435</v>
      </c>
      <c r="L257" s="4">
        <f t="shared" si="4"/>
        <v>0.1</v>
      </c>
      <c r="M257" s="4" t="s">
        <v>50</v>
      </c>
      <c r="N257" s="4">
        <f t="shared" si="5"/>
        <v>2.36</v>
      </c>
      <c r="O257" s="4">
        <v>0.0</v>
      </c>
      <c r="P257" s="4">
        <f t="shared" si="6"/>
        <v>0</v>
      </c>
      <c r="Q257" s="4">
        <v>28.0</v>
      </c>
      <c r="R257" s="4">
        <v>2.0</v>
      </c>
      <c r="S257" s="4">
        <v>215.0</v>
      </c>
      <c r="T257" s="4">
        <v>745.0</v>
      </c>
      <c r="U257" s="4">
        <v>2374.0</v>
      </c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4">
        <v>4.445114986E9</v>
      </c>
      <c r="B258" s="4">
        <v>42555.0</v>
      </c>
      <c r="C258" s="4">
        <v>6667.0</v>
      </c>
      <c r="D258" s="4" t="s">
        <v>46</v>
      </c>
      <c r="E258" s="4">
        <f t="shared" si="1"/>
        <v>4.61</v>
      </c>
      <c r="F258" s="4" t="s">
        <v>46</v>
      </c>
      <c r="G258" s="4">
        <f t="shared" si="2"/>
        <v>4.61</v>
      </c>
      <c r="H258" s="4">
        <v>0.0</v>
      </c>
      <c r="I258" s="4" t="s">
        <v>436</v>
      </c>
      <c r="J258" s="4">
        <f t="shared" si="3"/>
        <v>2.02</v>
      </c>
      <c r="K258" s="4" t="s">
        <v>370</v>
      </c>
      <c r="L258" s="4">
        <f t="shared" si="4"/>
        <v>0.05</v>
      </c>
      <c r="M258" s="4" t="s">
        <v>437</v>
      </c>
      <c r="N258" s="4">
        <f t="shared" si="5"/>
        <v>2.55</v>
      </c>
      <c r="O258" s="4">
        <v>0.0</v>
      </c>
      <c r="P258" s="4">
        <f t="shared" si="6"/>
        <v>0</v>
      </c>
      <c r="Q258" s="4">
        <v>24.0</v>
      </c>
      <c r="R258" s="4">
        <v>1.0</v>
      </c>
      <c r="S258" s="4">
        <v>208.0</v>
      </c>
      <c r="T258" s="4">
        <v>939.0</v>
      </c>
      <c r="U258" s="4">
        <v>2335.0</v>
      </c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4">
        <v>4.445114986E9</v>
      </c>
      <c r="B259" s="4">
        <v>42586.0</v>
      </c>
      <c r="C259" s="4">
        <v>5543.0</v>
      </c>
      <c r="D259" s="4" t="s">
        <v>155</v>
      </c>
      <c r="E259" s="4">
        <f t="shared" si="1"/>
        <v>3.72</v>
      </c>
      <c r="F259" s="4" t="s">
        <v>155</v>
      </c>
      <c r="G259" s="4">
        <f t="shared" si="2"/>
        <v>3.72</v>
      </c>
      <c r="H259" s="4">
        <v>0.0</v>
      </c>
      <c r="I259" s="4">
        <v>0.0</v>
      </c>
      <c r="J259" s="4">
        <f t="shared" si="3"/>
        <v>0</v>
      </c>
      <c r="K259" s="4">
        <v>0.0</v>
      </c>
      <c r="L259" s="4">
        <f t="shared" si="4"/>
        <v>0</v>
      </c>
      <c r="M259" s="4" t="s">
        <v>155</v>
      </c>
      <c r="N259" s="4">
        <f t="shared" si="5"/>
        <v>3.72</v>
      </c>
      <c r="O259" s="4">
        <v>0.0</v>
      </c>
      <c r="P259" s="4">
        <f t="shared" si="6"/>
        <v>0</v>
      </c>
      <c r="Q259" s="4">
        <v>0.0</v>
      </c>
      <c r="R259" s="4">
        <v>0.0</v>
      </c>
      <c r="S259" s="4">
        <v>266.0</v>
      </c>
      <c r="T259" s="4">
        <v>941.0</v>
      </c>
      <c r="U259" s="4">
        <v>2303.0</v>
      </c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4">
        <v>4.445114986E9</v>
      </c>
      <c r="B260" s="4">
        <v>42617.0</v>
      </c>
      <c r="C260" s="4">
        <v>4195.0</v>
      </c>
      <c r="D260" s="4" t="s">
        <v>152</v>
      </c>
      <c r="E260" s="4">
        <f t="shared" si="1"/>
        <v>2.81</v>
      </c>
      <c r="F260" s="4" t="s">
        <v>152</v>
      </c>
      <c r="G260" s="4">
        <f t="shared" si="2"/>
        <v>2.81</v>
      </c>
      <c r="H260" s="4">
        <v>0.0</v>
      </c>
      <c r="I260" s="4">
        <v>0.0</v>
      </c>
      <c r="J260" s="4">
        <f t="shared" si="3"/>
        <v>0</v>
      </c>
      <c r="K260" s="4">
        <v>0.0</v>
      </c>
      <c r="L260" s="4">
        <f t="shared" si="4"/>
        <v>0</v>
      </c>
      <c r="M260" s="4" t="s">
        <v>152</v>
      </c>
      <c r="N260" s="4">
        <f t="shared" si="5"/>
        <v>2.81</v>
      </c>
      <c r="O260" s="4">
        <v>0.0</v>
      </c>
      <c r="P260" s="4">
        <f t="shared" si="6"/>
        <v>0</v>
      </c>
      <c r="Q260" s="4">
        <v>0.0</v>
      </c>
      <c r="R260" s="4">
        <v>0.0</v>
      </c>
      <c r="S260" s="4">
        <v>239.0</v>
      </c>
      <c r="T260" s="4">
        <v>758.0</v>
      </c>
      <c r="U260" s="4">
        <v>2210.0</v>
      </c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4">
        <v>4.445114986E9</v>
      </c>
      <c r="B261" s="4">
        <v>42647.0</v>
      </c>
      <c r="C261" s="4">
        <v>6625.0</v>
      </c>
      <c r="D261" s="4" t="s">
        <v>85</v>
      </c>
      <c r="E261" s="4">
        <f t="shared" si="1"/>
        <v>4.45</v>
      </c>
      <c r="F261" s="4" t="s">
        <v>85</v>
      </c>
      <c r="G261" s="4">
        <f t="shared" si="2"/>
        <v>4.45</v>
      </c>
      <c r="H261" s="4">
        <v>0.0</v>
      </c>
      <c r="I261" s="4">
        <v>0.0</v>
      </c>
      <c r="J261" s="4">
        <f t="shared" si="3"/>
        <v>0</v>
      </c>
      <c r="K261" s="4">
        <v>0.0</v>
      </c>
      <c r="L261" s="4">
        <f t="shared" si="4"/>
        <v>0</v>
      </c>
      <c r="M261" s="4" t="s">
        <v>85</v>
      </c>
      <c r="N261" s="4">
        <f t="shared" si="5"/>
        <v>4.45</v>
      </c>
      <c r="O261" s="4">
        <v>0.0</v>
      </c>
      <c r="P261" s="4">
        <f t="shared" si="6"/>
        <v>0</v>
      </c>
      <c r="Q261" s="4">
        <v>0.0</v>
      </c>
      <c r="R261" s="4">
        <v>0.0</v>
      </c>
      <c r="S261" s="4">
        <v>316.0</v>
      </c>
      <c r="T261" s="4">
        <v>755.0</v>
      </c>
      <c r="U261" s="4">
        <v>2424.0</v>
      </c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4">
        <v>4.445114986E9</v>
      </c>
      <c r="B262" s="4">
        <v>42678.0</v>
      </c>
      <c r="C262" s="4">
        <v>5986.0</v>
      </c>
      <c r="D262" s="4" t="s">
        <v>438</v>
      </c>
      <c r="E262" s="4">
        <f t="shared" si="1"/>
        <v>4.13</v>
      </c>
      <c r="F262" s="4" t="s">
        <v>438</v>
      </c>
      <c r="G262" s="4">
        <f t="shared" si="2"/>
        <v>4.13</v>
      </c>
      <c r="H262" s="4">
        <v>0.0</v>
      </c>
      <c r="I262" s="4" t="s">
        <v>439</v>
      </c>
      <c r="J262" s="4">
        <f t="shared" si="3"/>
        <v>1.95</v>
      </c>
      <c r="K262" s="4" t="s">
        <v>411</v>
      </c>
      <c r="L262" s="4">
        <f t="shared" si="4"/>
        <v>0.23</v>
      </c>
      <c r="M262" s="4" t="s">
        <v>439</v>
      </c>
      <c r="N262" s="4">
        <f t="shared" si="5"/>
        <v>1.95</v>
      </c>
      <c r="O262" s="4">
        <v>0.0</v>
      </c>
      <c r="P262" s="4">
        <f t="shared" si="6"/>
        <v>0</v>
      </c>
      <c r="Q262" s="4">
        <v>23.0</v>
      </c>
      <c r="R262" s="4">
        <v>5.0</v>
      </c>
      <c r="S262" s="4">
        <v>195.0</v>
      </c>
      <c r="T262" s="4">
        <v>789.0</v>
      </c>
      <c r="U262" s="4">
        <v>2297.0</v>
      </c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4">
        <v>4.445114986E9</v>
      </c>
      <c r="B263" s="4">
        <v>42708.0</v>
      </c>
      <c r="C263" s="4">
        <v>278.0</v>
      </c>
      <c r="D263" s="4" t="s">
        <v>270</v>
      </c>
      <c r="E263" s="4">
        <f t="shared" si="1"/>
        <v>0.19</v>
      </c>
      <c r="F263" s="4" t="s">
        <v>270</v>
      </c>
      <c r="G263" s="4">
        <f t="shared" si="2"/>
        <v>0.19</v>
      </c>
      <c r="H263" s="4">
        <v>0.0</v>
      </c>
      <c r="I263" s="4">
        <v>0.0</v>
      </c>
      <c r="J263" s="4">
        <f t="shared" si="3"/>
        <v>0</v>
      </c>
      <c r="K263" s="4">
        <v>0.0</v>
      </c>
      <c r="L263" s="4">
        <f t="shared" si="4"/>
        <v>0</v>
      </c>
      <c r="M263" s="4" t="s">
        <v>270</v>
      </c>
      <c r="N263" s="4">
        <f t="shared" si="5"/>
        <v>0.19</v>
      </c>
      <c r="O263" s="4">
        <v>0.0</v>
      </c>
      <c r="P263" s="4">
        <f t="shared" si="6"/>
        <v>0</v>
      </c>
      <c r="Q263" s="4">
        <v>0.0</v>
      </c>
      <c r="R263" s="4">
        <v>0.0</v>
      </c>
      <c r="S263" s="4">
        <v>20.0</v>
      </c>
      <c r="T263" s="4">
        <v>253.0</v>
      </c>
      <c r="U263" s="4">
        <v>745.0</v>
      </c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4">
        <v>4.558609924E9</v>
      </c>
      <c r="B264" s="4">
        <v>42373.0</v>
      </c>
      <c r="C264" s="4">
        <v>5336.0</v>
      </c>
      <c r="D264" s="4" t="s">
        <v>440</v>
      </c>
      <c r="E264" s="4">
        <f t="shared" si="1"/>
        <v>3.53</v>
      </c>
      <c r="F264" s="4" t="s">
        <v>440</v>
      </c>
      <c r="G264" s="4">
        <f t="shared" si="2"/>
        <v>3.53</v>
      </c>
      <c r="H264" s="4">
        <v>0.0</v>
      </c>
      <c r="I264" s="4">
        <v>0.0</v>
      </c>
      <c r="J264" s="4">
        <f t="shared" si="3"/>
        <v>0</v>
      </c>
      <c r="K264" s="4">
        <v>0.0</v>
      </c>
      <c r="L264" s="4">
        <f t="shared" si="4"/>
        <v>0</v>
      </c>
      <c r="M264" s="4" t="s">
        <v>440</v>
      </c>
      <c r="N264" s="4">
        <f t="shared" si="5"/>
        <v>3.53</v>
      </c>
      <c r="O264" s="4">
        <v>0.0</v>
      </c>
      <c r="P264" s="4">
        <f t="shared" si="6"/>
        <v>0</v>
      </c>
      <c r="Q264" s="4">
        <v>0.0</v>
      </c>
      <c r="R264" s="4">
        <v>0.0</v>
      </c>
      <c r="S264" s="4">
        <v>258.0</v>
      </c>
      <c r="T264" s="4">
        <v>1182.0</v>
      </c>
      <c r="U264" s="4">
        <v>1902.0</v>
      </c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4">
        <v>4.558609924E9</v>
      </c>
      <c r="B265" s="4">
        <v>42404.0</v>
      </c>
      <c r="C265" s="4">
        <v>3183.0</v>
      </c>
      <c r="D265" s="4" t="s">
        <v>441</v>
      </c>
      <c r="E265" s="4">
        <f t="shared" si="1"/>
        <v>2.1</v>
      </c>
      <c r="F265" s="4" t="s">
        <v>441</v>
      </c>
      <c r="G265" s="4">
        <f t="shared" si="2"/>
        <v>2.1</v>
      </c>
      <c r="H265" s="4">
        <v>0.0</v>
      </c>
      <c r="I265" s="4">
        <v>0.0</v>
      </c>
      <c r="J265" s="4">
        <f t="shared" si="3"/>
        <v>0</v>
      </c>
      <c r="K265" s="4">
        <v>0.0</v>
      </c>
      <c r="L265" s="4">
        <f t="shared" si="4"/>
        <v>0</v>
      </c>
      <c r="M265" s="4" t="s">
        <v>441</v>
      </c>
      <c r="N265" s="4">
        <f t="shared" si="5"/>
        <v>2.1</v>
      </c>
      <c r="O265" s="4">
        <v>0.0</v>
      </c>
      <c r="P265" s="4">
        <f t="shared" si="6"/>
        <v>0</v>
      </c>
      <c r="Q265" s="4">
        <v>0.0</v>
      </c>
      <c r="R265" s="4">
        <v>0.0</v>
      </c>
      <c r="S265" s="4">
        <v>173.0</v>
      </c>
      <c r="T265" s="4">
        <v>1180.0</v>
      </c>
      <c r="U265" s="4">
        <v>1680.0</v>
      </c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4">
        <v>4.558609924E9</v>
      </c>
      <c r="B266" s="4">
        <v>42433.0</v>
      </c>
      <c r="C266" s="4">
        <v>6176.0</v>
      </c>
      <c r="D266" s="4" t="s">
        <v>442</v>
      </c>
      <c r="E266" s="4">
        <f t="shared" si="1"/>
        <v>4.08</v>
      </c>
      <c r="F266" s="4" t="s">
        <v>442</v>
      </c>
      <c r="G266" s="4">
        <f t="shared" si="2"/>
        <v>4.08</v>
      </c>
      <c r="H266" s="4">
        <v>0.0</v>
      </c>
      <c r="I266" s="4" t="s">
        <v>336</v>
      </c>
      <c r="J266" s="4">
        <f t="shared" si="3"/>
        <v>0.07</v>
      </c>
      <c r="K266" s="4" t="s">
        <v>354</v>
      </c>
      <c r="L266" s="4">
        <f t="shared" si="4"/>
        <v>0.26</v>
      </c>
      <c r="M266" s="4" t="s">
        <v>443</v>
      </c>
      <c r="N266" s="4">
        <f t="shared" si="5"/>
        <v>3.75</v>
      </c>
      <c r="O266" s="4">
        <v>0.0</v>
      </c>
      <c r="P266" s="4">
        <f t="shared" si="6"/>
        <v>0</v>
      </c>
      <c r="Q266" s="4">
        <v>1.0</v>
      </c>
      <c r="R266" s="4">
        <v>7.0</v>
      </c>
      <c r="S266" s="4">
        <v>269.0</v>
      </c>
      <c r="T266" s="4">
        <v>886.0</v>
      </c>
      <c r="U266" s="4">
        <v>1901.0</v>
      </c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4">
        <v>4.558609924E9</v>
      </c>
      <c r="B267" s="4">
        <v>42464.0</v>
      </c>
      <c r="C267" s="4">
        <v>8205.0</v>
      </c>
      <c r="D267" s="4" t="s">
        <v>444</v>
      </c>
      <c r="E267" s="4">
        <f t="shared" si="1"/>
        <v>5.42</v>
      </c>
      <c r="F267" s="4" t="s">
        <v>444</v>
      </c>
      <c r="G267" s="4">
        <f t="shared" si="2"/>
        <v>5.42</v>
      </c>
      <c r="H267" s="4">
        <v>0.0</v>
      </c>
      <c r="I267" s="4">
        <v>0.0</v>
      </c>
      <c r="J267" s="4">
        <f t="shared" si="3"/>
        <v>0</v>
      </c>
      <c r="K267" s="4">
        <v>0.0</v>
      </c>
      <c r="L267" s="4">
        <f t="shared" si="4"/>
        <v>0</v>
      </c>
      <c r="M267" s="4" t="s">
        <v>444</v>
      </c>
      <c r="N267" s="4">
        <f t="shared" si="5"/>
        <v>5.42</v>
      </c>
      <c r="O267" s="4">
        <v>0.0</v>
      </c>
      <c r="P267" s="4">
        <f t="shared" si="6"/>
        <v>0</v>
      </c>
      <c r="Q267" s="4">
        <v>0.0</v>
      </c>
      <c r="R267" s="4">
        <v>0.0</v>
      </c>
      <c r="S267" s="4">
        <v>367.0</v>
      </c>
      <c r="T267" s="4">
        <v>1073.0</v>
      </c>
      <c r="U267" s="4">
        <v>2078.0</v>
      </c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4">
        <v>4.558609924E9</v>
      </c>
      <c r="B268" s="4">
        <v>42494.0</v>
      </c>
      <c r="C268" s="4">
        <v>6799.0</v>
      </c>
      <c r="D268" s="4" t="s">
        <v>445</v>
      </c>
      <c r="E268" s="4">
        <f t="shared" si="1"/>
        <v>4.49</v>
      </c>
      <c r="F268" s="4" t="s">
        <v>445</v>
      </c>
      <c r="G268" s="4">
        <f t="shared" si="2"/>
        <v>4.49</v>
      </c>
      <c r="H268" s="4">
        <v>0.0</v>
      </c>
      <c r="I268" s="4" t="s">
        <v>446</v>
      </c>
      <c r="J268" s="4">
        <f t="shared" si="3"/>
        <v>1.59</v>
      </c>
      <c r="K268" s="4" t="s">
        <v>447</v>
      </c>
      <c r="L268" s="4">
        <f t="shared" si="4"/>
        <v>0.86</v>
      </c>
      <c r="M268" s="4" t="s">
        <v>80</v>
      </c>
      <c r="N268" s="4">
        <f t="shared" si="5"/>
        <v>2.04</v>
      </c>
      <c r="O268" s="4">
        <v>0.0</v>
      </c>
      <c r="P268" s="4">
        <f t="shared" si="6"/>
        <v>0</v>
      </c>
      <c r="Q268" s="4">
        <v>24.0</v>
      </c>
      <c r="R268" s="4">
        <v>14.0</v>
      </c>
      <c r="S268" s="4">
        <v>185.0</v>
      </c>
      <c r="T268" s="4">
        <v>1217.0</v>
      </c>
      <c r="U268" s="4">
        <v>1876.0</v>
      </c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4">
        <v>4.558609924E9</v>
      </c>
      <c r="B269" s="4">
        <v>42525.0</v>
      </c>
      <c r="C269" s="4">
        <v>5668.0</v>
      </c>
      <c r="D269" s="4" t="s">
        <v>443</v>
      </c>
      <c r="E269" s="4">
        <f t="shared" si="1"/>
        <v>3.75</v>
      </c>
      <c r="F269" s="4" t="s">
        <v>443</v>
      </c>
      <c r="G269" s="4">
        <f t="shared" si="2"/>
        <v>3.75</v>
      </c>
      <c r="H269" s="4">
        <v>0.0</v>
      </c>
      <c r="I269" s="4">
        <v>0.0</v>
      </c>
      <c r="J269" s="4">
        <f t="shared" si="3"/>
        <v>0</v>
      </c>
      <c r="K269" s="4">
        <v>0.0</v>
      </c>
      <c r="L269" s="4">
        <f t="shared" si="4"/>
        <v>0</v>
      </c>
      <c r="M269" s="4" t="s">
        <v>443</v>
      </c>
      <c r="N269" s="4">
        <f t="shared" si="5"/>
        <v>3.75</v>
      </c>
      <c r="O269" s="4">
        <v>0.0</v>
      </c>
      <c r="P269" s="4">
        <f t="shared" si="6"/>
        <v>0</v>
      </c>
      <c r="Q269" s="4">
        <v>0.0</v>
      </c>
      <c r="R269" s="4">
        <v>0.0</v>
      </c>
      <c r="S269" s="4">
        <v>259.0</v>
      </c>
      <c r="T269" s="4">
        <v>1181.0</v>
      </c>
      <c r="U269" s="4">
        <v>1853.0</v>
      </c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4">
        <v>4.558609924E9</v>
      </c>
      <c r="B270" s="4">
        <v>42555.0</v>
      </c>
      <c r="C270" s="4">
        <v>7998.0</v>
      </c>
      <c r="D270" s="4" t="s">
        <v>274</v>
      </c>
      <c r="E270" s="4">
        <f t="shared" si="1"/>
        <v>5.29</v>
      </c>
      <c r="F270" s="4" t="s">
        <v>274</v>
      </c>
      <c r="G270" s="4">
        <f t="shared" si="2"/>
        <v>5.29</v>
      </c>
      <c r="H270" s="4">
        <v>0.0</v>
      </c>
      <c r="I270" s="4" t="s">
        <v>51</v>
      </c>
      <c r="J270" s="4">
        <f t="shared" si="3"/>
        <v>0.51</v>
      </c>
      <c r="K270" s="4" t="s">
        <v>124</v>
      </c>
      <c r="L270" s="4">
        <f t="shared" si="4"/>
        <v>0.25</v>
      </c>
      <c r="M270" s="4" t="s">
        <v>158</v>
      </c>
      <c r="N270" s="4">
        <f t="shared" si="5"/>
        <v>4.53</v>
      </c>
      <c r="O270" s="4">
        <v>0.0</v>
      </c>
      <c r="P270" s="4">
        <f t="shared" si="6"/>
        <v>0</v>
      </c>
      <c r="Q270" s="4">
        <v>27.0</v>
      </c>
      <c r="R270" s="4">
        <v>12.0</v>
      </c>
      <c r="S270" s="4">
        <v>296.0</v>
      </c>
      <c r="T270" s="4">
        <v>1105.0</v>
      </c>
      <c r="U270" s="4">
        <v>2235.0</v>
      </c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4">
        <v>4.558609924E9</v>
      </c>
      <c r="B271" s="4">
        <v>42586.0</v>
      </c>
      <c r="C271" s="4">
        <v>4195.0</v>
      </c>
      <c r="D271" s="4" t="s">
        <v>448</v>
      </c>
      <c r="E271" s="4">
        <f t="shared" si="1"/>
        <v>2.77</v>
      </c>
      <c r="F271" s="4" t="s">
        <v>448</v>
      </c>
      <c r="G271" s="4">
        <f t="shared" si="2"/>
        <v>2.77</v>
      </c>
      <c r="H271" s="4">
        <v>0.0</v>
      </c>
      <c r="I271" s="4">
        <v>0.0</v>
      </c>
      <c r="J271" s="4">
        <f t="shared" si="3"/>
        <v>0</v>
      </c>
      <c r="K271" s="4">
        <v>0.0</v>
      </c>
      <c r="L271" s="4">
        <f t="shared" si="4"/>
        <v>0</v>
      </c>
      <c r="M271" s="4" t="s">
        <v>448</v>
      </c>
      <c r="N271" s="4">
        <f t="shared" si="5"/>
        <v>2.77</v>
      </c>
      <c r="O271" s="4">
        <v>0.0</v>
      </c>
      <c r="P271" s="4">
        <f t="shared" si="6"/>
        <v>0</v>
      </c>
      <c r="Q271" s="4">
        <v>0.0</v>
      </c>
      <c r="R271" s="4">
        <v>0.0</v>
      </c>
      <c r="S271" s="4">
        <v>241.0</v>
      </c>
      <c r="T271" s="4">
        <v>1199.0</v>
      </c>
      <c r="U271" s="4">
        <v>1778.0</v>
      </c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4">
        <v>4.558609924E9</v>
      </c>
      <c r="B272" s="4">
        <v>42617.0</v>
      </c>
      <c r="C272" s="4">
        <v>5512.0</v>
      </c>
      <c r="D272" s="4" t="s">
        <v>62</v>
      </c>
      <c r="E272" s="4">
        <f t="shared" si="1"/>
        <v>3.64</v>
      </c>
      <c r="F272" s="4" t="s">
        <v>62</v>
      </c>
      <c r="G272" s="4">
        <f t="shared" si="2"/>
        <v>3.64</v>
      </c>
      <c r="H272" s="4">
        <v>0.0</v>
      </c>
      <c r="I272" s="4">
        <v>0.0</v>
      </c>
      <c r="J272" s="4">
        <f t="shared" si="3"/>
        <v>0</v>
      </c>
      <c r="K272" s="4">
        <v>0.0</v>
      </c>
      <c r="L272" s="4">
        <f t="shared" si="4"/>
        <v>0</v>
      </c>
      <c r="M272" s="4" t="s">
        <v>62</v>
      </c>
      <c r="N272" s="4">
        <f t="shared" si="5"/>
        <v>3.64</v>
      </c>
      <c r="O272" s="4">
        <v>0.0</v>
      </c>
      <c r="P272" s="4">
        <f t="shared" si="6"/>
        <v>0</v>
      </c>
      <c r="Q272" s="4">
        <v>0.0</v>
      </c>
      <c r="R272" s="4">
        <v>0.0</v>
      </c>
      <c r="S272" s="4">
        <v>276.0</v>
      </c>
      <c r="T272" s="4">
        <v>1164.0</v>
      </c>
      <c r="U272" s="4">
        <v>1882.0</v>
      </c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4">
        <v>4.558609924E9</v>
      </c>
      <c r="B273" s="4">
        <v>42647.0</v>
      </c>
      <c r="C273" s="4">
        <v>6263.0</v>
      </c>
      <c r="D273" s="4" t="s">
        <v>216</v>
      </c>
      <c r="E273" s="4">
        <f t="shared" si="1"/>
        <v>4.14</v>
      </c>
      <c r="F273" s="4" t="s">
        <v>216</v>
      </c>
      <c r="G273" s="4">
        <f t="shared" si="2"/>
        <v>4.14</v>
      </c>
      <c r="H273" s="4">
        <v>0.0</v>
      </c>
      <c r="I273" s="4">
        <v>0.0</v>
      </c>
      <c r="J273" s="4">
        <f t="shared" si="3"/>
        <v>0</v>
      </c>
      <c r="K273" s="4">
        <v>0.0</v>
      </c>
      <c r="L273" s="4">
        <f t="shared" si="4"/>
        <v>0</v>
      </c>
      <c r="M273" s="4" t="s">
        <v>438</v>
      </c>
      <c r="N273" s="4">
        <f t="shared" si="5"/>
        <v>4.13</v>
      </c>
      <c r="O273" s="4">
        <v>0.0</v>
      </c>
      <c r="P273" s="4">
        <f t="shared" si="6"/>
        <v>0</v>
      </c>
      <c r="Q273" s="4">
        <v>0.0</v>
      </c>
      <c r="R273" s="4">
        <v>0.0</v>
      </c>
      <c r="S273" s="4">
        <v>290.0</v>
      </c>
      <c r="T273" s="4">
        <v>1150.0</v>
      </c>
      <c r="U273" s="4">
        <v>1906.0</v>
      </c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4">
        <v>4.558609924E9</v>
      </c>
      <c r="B274" s="4">
        <v>42678.0</v>
      </c>
      <c r="C274" s="4">
        <v>8828.0</v>
      </c>
      <c r="D274" s="4" t="s">
        <v>449</v>
      </c>
      <c r="E274" s="4">
        <f t="shared" si="1"/>
        <v>5.84</v>
      </c>
      <c r="F274" s="4" t="s">
        <v>449</v>
      </c>
      <c r="G274" s="4">
        <f t="shared" si="2"/>
        <v>5.84</v>
      </c>
      <c r="H274" s="4">
        <v>0.0</v>
      </c>
      <c r="I274" s="4">
        <v>0.0</v>
      </c>
      <c r="J274" s="4">
        <f t="shared" si="3"/>
        <v>0</v>
      </c>
      <c r="K274" s="4">
        <v>0.0</v>
      </c>
      <c r="L274" s="4">
        <f t="shared" si="4"/>
        <v>0</v>
      </c>
      <c r="M274" s="4" t="s">
        <v>449</v>
      </c>
      <c r="N274" s="4">
        <f t="shared" si="5"/>
        <v>5.84</v>
      </c>
      <c r="O274" s="4">
        <v>0.0</v>
      </c>
      <c r="P274" s="4">
        <f t="shared" si="6"/>
        <v>0</v>
      </c>
      <c r="Q274" s="4">
        <v>0.0</v>
      </c>
      <c r="R274" s="4">
        <v>0.0</v>
      </c>
      <c r="S274" s="4">
        <v>308.0</v>
      </c>
      <c r="T274" s="4">
        <v>1132.0</v>
      </c>
      <c r="U274" s="4">
        <v>2149.0</v>
      </c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4">
        <v>4.558609924E9</v>
      </c>
      <c r="B275" s="4">
        <v>42708.0</v>
      </c>
      <c r="C275" s="4">
        <v>1260.0</v>
      </c>
      <c r="D275" s="4" t="s">
        <v>61</v>
      </c>
      <c r="E275" s="4">
        <f t="shared" si="1"/>
        <v>0.83</v>
      </c>
      <c r="F275" s="4" t="s">
        <v>61</v>
      </c>
      <c r="G275" s="4">
        <f t="shared" si="2"/>
        <v>0.83</v>
      </c>
      <c r="H275" s="4">
        <v>0.0</v>
      </c>
      <c r="I275" s="4">
        <v>0.0</v>
      </c>
      <c r="J275" s="4">
        <f t="shared" si="3"/>
        <v>0</v>
      </c>
      <c r="K275" s="4">
        <v>0.0</v>
      </c>
      <c r="L275" s="4">
        <f t="shared" si="4"/>
        <v>0</v>
      </c>
      <c r="M275" s="4" t="s">
        <v>450</v>
      </c>
      <c r="N275" s="4">
        <f t="shared" si="5"/>
        <v>0.82</v>
      </c>
      <c r="O275" s="4">
        <v>0.0</v>
      </c>
      <c r="P275" s="4">
        <f t="shared" si="6"/>
        <v>0</v>
      </c>
      <c r="Q275" s="4">
        <v>0.0</v>
      </c>
      <c r="R275" s="4">
        <v>0.0</v>
      </c>
      <c r="S275" s="4">
        <v>76.0</v>
      </c>
      <c r="T275" s="4">
        <v>555.0</v>
      </c>
      <c r="U275" s="4">
        <v>722.0</v>
      </c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4">
        <v>4.702921684E9</v>
      </c>
      <c r="B276" s="4" t="s">
        <v>42</v>
      </c>
      <c r="C276" s="4">
        <v>6506.0</v>
      </c>
      <c r="D276" s="4" t="s">
        <v>451</v>
      </c>
      <c r="E276" s="4">
        <f t="shared" si="1"/>
        <v>5.28</v>
      </c>
      <c r="F276" s="4" t="s">
        <v>451</v>
      </c>
      <c r="G276" s="4">
        <f t="shared" si="2"/>
        <v>5.28</v>
      </c>
      <c r="H276" s="4">
        <v>0.0</v>
      </c>
      <c r="I276" s="4" t="s">
        <v>265</v>
      </c>
      <c r="J276" s="4">
        <f t="shared" si="3"/>
        <v>0.33</v>
      </c>
      <c r="K276" s="4" t="s">
        <v>109</v>
      </c>
      <c r="L276" s="4">
        <f t="shared" si="4"/>
        <v>0.27</v>
      </c>
      <c r="M276" s="4" t="s">
        <v>452</v>
      </c>
      <c r="N276" s="4">
        <f t="shared" si="5"/>
        <v>4.67</v>
      </c>
      <c r="O276" s="4">
        <v>0.0</v>
      </c>
      <c r="P276" s="4">
        <f t="shared" si="6"/>
        <v>0</v>
      </c>
      <c r="Q276" s="4">
        <v>4.0</v>
      </c>
      <c r="R276" s="4">
        <v>5.0</v>
      </c>
      <c r="S276" s="4">
        <v>241.0</v>
      </c>
      <c r="T276" s="4">
        <v>760.0</v>
      </c>
      <c r="U276" s="4">
        <v>2886.0</v>
      </c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4">
        <v>4.702921684E9</v>
      </c>
      <c r="B277" s="4" t="s">
        <v>48</v>
      </c>
      <c r="C277" s="4">
        <v>7583.0</v>
      </c>
      <c r="D277" s="4" t="s">
        <v>424</v>
      </c>
      <c r="E277" s="4">
        <f t="shared" si="1"/>
        <v>6.15</v>
      </c>
      <c r="F277" s="4" t="s">
        <v>424</v>
      </c>
      <c r="G277" s="4">
        <f t="shared" si="2"/>
        <v>6.15</v>
      </c>
      <c r="H277" s="4">
        <v>0.0</v>
      </c>
      <c r="I277" s="4" t="s">
        <v>124</v>
      </c>
      <c r="J277" s="4">
        <f t="shared" si="3"/>
        <v>0.25</v>
      </c>
      <c r="K277" s="4" t="s">
        <v>399</v>
      </c>
      <c r="L277" s="4">
        <f t="shared" si="4"/>
        <v>0.55</v>
      </c>
      <c r="M277" s="4" t="s">
        <v>453</v>
      </c>
      <c r="N277" s="4">
        <f t="shared" si="5"/>
        <v>5.35</v>
      </c>
      <c r="O277" s="4">
        <v>0.0</v>
      </c>
      <c r="P277" s="4">
        <f t="shared" si="6"/>
        <v>0</v>
      </c>
      <c r="Q277" s="4">
        <v>3.0</v>
      </c>
      <c r="R277" s="4">
        <v>13.0</v>
      </c>
      <c r="S277" s="4">
        <v>227.0</v>
      </c>
      <c r="T277" s="4">
        <v>742.0</v>
      </c>
      <c r="U277" s="4">
        <v>2915.0</v>
      </c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4">
        <v>4.702921684E9</v>
      </c>
      <c r="B278" s="4" t="s">
        <v>54</v>
      </c>
      <c r="C278" s="4">
        <v>6963.0</v>
      </c>
      <c r="D278" s="4" t="s">
        <v>276</v>
      </c>
      <c r="E278" s="4">
        <f t="shared" si="1"/>
        <v>5.65</v>
      </c>
      <c r="F278" s="4" t="s">
        <v>276</v>
      </c>
      <c r="G278" s="4">
        <f t="shared" si="2"/>
        <v>5.65</v>
      </c>
      <c r="H278" s="4">
        <v>0.0</v>
      </c>
      <c r="I278" s="4">
        <v>0.0</v>
      </c>
      <c r="J278" s="4">
        <f t="shared" si="3"/>
        <v>0</v>
      </c>
      <c r="K278" s="4">
        <v>0.0</v>
      </c>
      <c r="L278" s="4">
        <f t="shared" si="4"/>
        <v>0</v>
      </c>
      <c r="M278" s="4" t="s">
        <v>276</v>
      </c>
      <c r="N278" s="4">
        <f t="shared" si="5"/>
        <v>5.65</v>
      </c>
      <c r="O278" s="4">
        <v>0.0</v>
      </c>
      <c r="P278" s="4">
        <f t="shared" si="6"/>
        <v>0</v>
      </c>
      <c r="Q278" s="4">
        <v>0.0</v>
      </c>
      <c r="R278" s="4">
        <v>0.0</v>
      </c>
      <c r="S278" s="4">
        <v>256.0</v>
      </c>
      <c r="T278" s="4">
        <v>759.0</v>
      </c>
      <c r="U278" s="4">
        <v>2895.0</v>
      </c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4">
        <v>4.702921684E9</v>
      </c>
      <c r="B279" s="4">
        <v>42373.0</v>
      </c>
      <c r="C279" s="4">
        <v>7165.0</v>
      </c>
      <c r="D279" s="4" t="s">
        <v>454</v>
      </c>
      <c r="E279" s="4">
        <f t="shared" si="1"/>
        <v>5.81</v>
      </c>
      <c r="F279" s="4" t="s">
        <v>454</v>
      </c>
      <c r="G279" s="4">
        <f t="shared" si="2"/>
        <v>5.81</v>
      </c>
      <c r="H279" s="4">
        <v>0.0</v>
      </c>
      <c r="I279" s="4">
        <v>0.0</v>
      </c>
      <c r="J279" s="4">
        <f t="shared" si="3"/>
        <v>0</v>
      </c>
      <c r="K279" s="4" t="s">
        <v>160</v>
      </c>
      <c r="L279" s="4">
        <f t="shared" si="4"/>
        <v>0.37</v>
      </c>
      <c r="M279" s="4" t="s">
        <v>455</v>
      </c>
      <c r="N279" s="4">
        <f t="shared" si="5"/>
        <v>5.44</v>
      </c>
      <c r="O279" s="4">
        <v>0.0</v>
      </c>
      <c r="P279" s="4">
        <f t="shared" si="6"/>
        <v>0</v>
      </c>
      <c r="Q279" s="4">
        <v>0.0</v>
      </c>
      <c r="R279" s="4">
        <v>9.0</v>
      </c>
      <c r="S279" s="4">
        <v>248.0</v>
      </c>
      <c r="T279" s="4">
        <v>708.0</v>
      </c>
      <c r="U279" s="4">
        <v>2923.0</v>
      </c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4">
        <v>4.702921684E9</v>
      </c>
      <c r="B280" s="4">
        <v>42404.0</v>
      </c>
      <c r="C280" s="4">
        <v>10328.0</v>
      </c>
      <c r="D280" s="4" t="s">
        <v>456</v>
      </c>
      <c r="E280" s="4">
        <f t="shared" si="1"/>
        <v>8.38</v>
      </c>
      <c r="F280" s="4" t="s">
        <v>456</v>
      </c>
      <c r="G280" s="4">
        <f t="shared" si="2"/>
        <v>8.38</v>
      </c>
      <c r="H280" s="4">
        <v>0.0</v>
      </c>
      <c r="I280" s="4">
        <v>0.0</v>
      </c>
      <c r="J280" s="4">
        <f t="shared" si="3"/>
        <v>0</v>
      </c>
      <c r="K280" s="4" t="s">
        <v>177</v>
      </c>
      <c r="L280" s="4">
        <f t="shared" si="4"/>
        <v>1.46</v>
      </c>
      <c r="M280" s="4" t="s">
        <v>28</v>
      </c>
      <c r="N280" s="4">
        <f t="shared" si="5"/>
        <v>6.92</v>
      </c>
      <c r="O280" s="4">
        <v>0.0</v>
      </c>
      <c r="P280" s="4">
        <f t="shared" si="6"/>
        <v>0</v>
      </c>
      <c r="Q280" s="4">
        <v>0.0</v>
      </c>
      <c r="R280" s="4">
        <v>32.0</v>
      </c>
      <c r="S280" s="4">
        <v>367.0</v>
      </c>
      <c r="T280" s="4">
        <v>475.0</v>
      </c>
      <c r="U280" s="4">
        <v>3323.0</v>
      </c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4">
        <v>4.702921684E9</v>
      </c>
      <c r="B281" s="4">
        <v>42433.0</v>
      </c>
      <c r="C281" s="4">
        <v>12116.0</v>
      </c>
      <c r="D281" s="4" t="s">
        <v>457</v>
      </c>
      <c r="E281" s="4">
        <f t="shared" si="1"/>
        <v>9.83</v>
      </c>
      <c r="F281" s="4" t="s">
        <v>457</v>
      </c>
      <c r="G281" s="4">
        <f t="shared" si="2"/>
        <v>9.83</v>
      </c>
      <c r="H281" s="4">
        <v>0.0</v>
      </c>
      <c r="I281" s="4" t="s">
        <v>124</v>
      </c>
      <c r="J281" s="4">
        <f t="shared" si="3"/>
        <v>0.25</v>
      </c>
      <c r="K281" s="4" t="s">
        <v>458</v>
      </c>
      <c r="L281" s="4">
        <f t="shared" si="4"/>
        <v>2.85</v>
      </c>
      <c r="M281" s="4" t="s">
        <v>459</v>
      </c>
      <c r="N281" s="4">
        <f t="shared" si="5"/>
        <v>6.72</v>
      </c>
      <c r="O281" s="4">
        <v>0.0</v>
      </c>
      <c r="P281" s="4">
        <f t="shared" si="6"/>
        <v>0</v>
      </c>
      <c r="Q281" s="4">
        <v>3.0</v>
      </c>
      <c r="R281" s="4">
        <v>57.0</v>
      </c>
      <c r="S281" s="4">
        <v>323.0</v>
      </c>
      <c r="T281" s="4">
        <v>471.0</v>
      </c>
      <c r="U281" s="4">
        <v>3357.0</v>
      </c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4">
        <v>4.702921684E9</v>
      </c>
      <c r="B282" s="4">
        <v>42464.0</v>
      </c>
      <c r="C282" s="4">
        <v>7810.0</v>
      </c>
      <c r="D282" s="4" t="s">
        <v>460</v>
      </c>
      <c r="E282" s="4">
        <f t="shared" si="1"/>
        <v>6.36</v>
      </c>
      <c r="F282" s="4" t="s">
        <v>460</v>
      </c>
      <c r="G282" s="4">
        <f t="shared" si="2"/>
        <v>6.36</v>
      </c>
      <c r="H282" s="4">
        <v>0.0</v>
      </c>
      <c r="I282" s="4" t="s">
        <v>81</v>
      </c>
      <c r="J282" s="4">
        <f t="shared" si="3"/>
        <v>0.48</v>
      </c>
      <c r="K282" s="4" t="s">
        <v>84</v>
      </c>
      <c r="L282" s="4">
        <f t="shared" si="4"/>
        <v>1.2</v>
      </c>
      <c r="M282" s="4" t="s">
        <v>248</v>
      </c>
      <c r="N282" s="4">
        <f t="shared" si="5"/>
        <v>4.68</v>
      </c>
      <c r="O282" s="4">
        <v>0.0</v>
      </c>
      <c r="P282" s="4">
        <f t="shared" si="6"/>
        <v>0</v>
      </c>
      <c r="Q282" s="4">
        <v>6.0</v>
      </c>
      <c r="R282" s="4">
        <v>27.0</v>
      </c>
      <c r="S282" s="4">
        <v>216.0</v>
      </c>
      <c r="T282" s="4">
        <v>746.0</v>
      </c>
      <c r="U282" s="4">
        <v>2931.0</v>
      </c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4">
        <v>4.702921684E9</v>
      </c>
      <c r="B283" s="4">
        <v>42494.0</v>
      </c>
      <c r="C283" s="4">
        <v>6670.0</v>
      </c>
      <c r="D283" s="4" t="s">
        <v>461</v>
      </c>
      <c r="E283" s="4">
        <f t="shared" si="1"/>
        <v>5.41</v>
      </c>
      <c r="F283" s="4" t="s">
        <v>461</v>
      </c>
      <c r="G283" s="4">
        <f t="shared" si="2"/>
        <v>5.41</v>
      </c>
      <c r="H283" s="4">
        <v>0.0</v>
      </c>
      <c r="I283" s="4" t="s">
        <v>106</v>
      </c>
      <c r="J283" s="4">
        <f t="shared" si="3"/>
        <v>1.24</v>
      </c>
      <c r="K283" s="4" t="s">
        <v>271</v>
      </c>
      <c r="L283" s="4">
        <f t="shared" si="4"/>
        <v>0.8</v>
      </c>
      <c r="M283" s="4" t="s">
        <v>462</v>
      </c>
      <c r="N283" s="4">
        <f t="shared" si="5"/>
        <v>3.37</v>
      </c>
      <c r="O283" s="4">
        <v>0.0</v>
      </c>
      <c r="P283" s="4">
        <f t="shared" si="6"/>
        <v>0</v>
      </c>
      <c r="Q283" s="4">
        <v>15.0</v>
      </c>
      <c r="R283" s="4">
        <v>16.0</v>
      </c>
      <c r="S283" s="4">
        <v>199.0</v>
      </c>
      <c r="T283" s="4">
        <v>770.0</v>
      </c>
      <c r="U283" s="4">
        <v>2848.0</v>
      </c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4">
        <v>4.702921684E9</v>
      </c>
      <c r="B284" s="4">
        <v>42525.0</v>
      </c>
      <c r="C284" s="4">
        <v>7605.0</v>
      </c>
      <c r="D284" s="4" t="s">
        <v>463</v>
      </c>
      <c r="E284" s="4">
        <f t="shared" si="1"/>
        <v>6.18</v>
      </c>
      <c r="F284" s="4" t="s">
        <v>463</v>
      </c>
      <c r="G284" s="4">
        <f t="shared" si="2"/>
        <v>6.18</v>
      </c>
      <c r="H284" s="4">
        <v>0.0</v>
      </c>
      <c r="I284" s="4" t="s">
        <v>265</v>
      </c>
      <c r="J284" s="4">
        <f t="shared" si="3"/>
        <v>0.33</v>
      </c>
      <c r="K284" s="4" t="s">
        <v>149</v>
      </c>
      <c r="L284" s="4">
        <f t="shared" si="4"/>
        <v>0.21</v>
      </c>
      <c r="M284" s="4" t="s">
        <v>325</v>
      </c>
      <c r="N284" s="4">
        <f t="shared" si="5"/>
        <v>5.63</v>
      </c>
      <c r="O284" s="4">
        <v>0.0</v>
      </c>
      <c r="P284" s="4">
        <f t="shared" si="6"/>
        <v>0</v>
      </c>
      <c r="Q284" s="4">
        <v>4.0</v>
      </c>
      <c r="R284" s="4">
        <v>4.0</v>
      </c>
      <c r="S284" s="4">
        <v>248.0</v>
      </c>
      <c r="T284" s="4">
        <v>708.0</v>
      </c>
      <c r="U284" s="4">
        <v>2943.0</v>
      </c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4">
        <v>4.702921684E9</v>
      </c>
      <c r="B285" s="4">
        <v>42555.0</v>
      </c>
      <c r="C285" s="4">
        <v>6585.0</v>
      </c>
      <c r="D285" s="4" t="s">
        <v>398</v>
      </c>
      <c r="E285" s="4">
        <f t="shared" si="1"/>
        <v>5.34</v>
      </c>
      <c r="F285" s="4" t="s">
        <v>398</v>
      </c>
      <c r="G285" s="4">
        <f t="shared" si="2"/>
        <v>5.34</v>
      </c>
      <c r="H285" s="4">
        <v>0.0</v>
      </c>
      <c r="I285" s="4">
        <v>0.0</v>
      </c>
      <c r="J285" s="4">
        <f t="shared" si="3"/>
        <v>0</v>
      </c>
      <c r="K285" s="4">
        <v>0.0</v>
      </c>
      <c r="L285" s="4">
        <f t="shared" si="4"/>
        <v>0</v>
      </c>
      <c r="M285" s="4" t="s">
        <v>398</v>
      </c>
      <c r="N285" s="4">
        <f t="shared" si="5"/>
        <v>5.34</v>
      </c>
      <c r="O285" s="4">
        <v>0.0</v>
      </c>
      <c r="P285" s="4">
        <f t="shared" si="6"/>
        <v>0</v>
      </c>
      <c r="Q285" s="4">
        <v>0.0</v>
      </c>
      <c r="R285" s="4">
        <v>0.0</v>
      </c>
      <c r="S285" s="4">
        <v>210.0</v>
      </c>
      <c r="T285" s="4">
        <v>770.0</v>
      </c>
      <c r="U285" s="4">
        <v>2822.0</v>
      </c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4">
        <v>4.702921684E9</v>
      </c>
      <c r="B286" s="4">
        <v>42586.0</v>
      </c>
      <c r="C286" s="4">
        <v>8184.0</v>
      </c>
      <c r="D286" s="4" t="s">
        <v>464</v>
      </c>
      <c r="E286" s="4">
        <f t="shared" si="1"/>
        <v>6.64</v>
      </c>
      <c r="F286" s="4" t="s">
        <v>464</v>
      </c>
      <c r="G286" s="4">
        <f t="shared" si="2"/>
        <v>6.64</v>
      </c>
      <c r="H286" s="4">
        <v>0.0</v>
      </c>
      <c r="I286" s="4">
        <v>0.0</v>
      </c>
      <c r="J286" s="4">
        <f t="shared" si="3"/>
        <v>0</v>
      </c>
      <c r="K286" s="4" t="s">
        <v>376</v>
      </c>
      <c r="L286" s="4">
        <f t="shared" si="4"/>
        <v>0.62</v>
      </c>
      <c r="M286" s="4" t="s">
        <v>465</v>
      </c>
      <c r="N286" s="4">
        <f t="shared" si="5"/>
        <v>5.95</v>
      </c>
      <c r="O286" s="4">
        <v>0.0</v>
      </c>
      <c r="P286" s="4">
        <f t="shared" si="6"/>
        <v>0</v>
      </c>
      <c r="Q286" s="4">
        <v>0.0</v>
      </c>
      <c r="R286" s="4">
        <v>15.0</v>
      </c>
      <c r="S286" s="4">
        <v>247.0</v>
      </c>
      <c r="T286" s="4">
        <v>808.0</v>
      </c>
      <c r="U286" s="4">
        <v>2981.0</v>
      </c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4">
        <v>4.702921684E9</v>
      </c>
      <c r="B287" s="4">
        <v>42617.0</v>
      </c>
      <c r="C287" s="4">
        <v>14002.0</v>
      </c>
      <c r="D287" s="4" t="s">
        <v>466</v>
      </c>
      <c r="E287" s="4">
        <f t="shared" si="1"/>
        <v>11.36</v>
      </c>
      <c r="F287" s="4" t="s">
        <v>466</v>
      </c>
      <c r="G287" s="4">
        <f t="shared" si="2"/>
        <v>11.36</v>
      </c>
      <c r="H287" s="4">
        <v>0.0</v>
      </c>
      <c r="I287" s="4" t="s">
        <v>159</v>
      </c>
      <c r="J287" s="4">
        <f t="shared" si="3"/>
        <v>0.61</v>
      </c>
      <c r="K287" s="4" t="s">
        <v>467</v>
      </c>
      <c r="L287" s="4">
        <f t="shared" si="4"/>
        <v>2.68</v>
      </c>
      <c r="M287" s="4" t="s">
        <v>468</v>
      </c>
      <c r="N287" s="4">
        <f t="shared" si="5"/>
        <v>8.06</v>
      </c>
      <c r="O287" s="4">
        <v>0.0</v>
      </c>
      <c r="P287" s="4">
        <f t="shared" si="6"/>
        <v>0</v>
      </c>
      <c r="Q287" s="4">
        <v>8.0</v>
      </c>
      <c r="R287" s="4">
        <v>56.0</v>
      </c>
      <c r="S287" s="4">
        <v>381.0</v>
      </c>
      <c r="T287" s="4">
        <v>407.0</v>
      </c>
      <c r="U287" s="4">
        <v>3597.0</v>
      </c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4">
        <v>4.702921684E9</v>
      </c>
      <c r="B288" s="4">
        <v>42647.0</v>
      </c>
      <c r="C288" s="4">
        <v>11135.0</v>
      </c>
      <c r="D288" s="4" t="s">
        <v>469</v>
      </c>
      <c r="E288" s="4">
        <f t="shared" si="1"/>
        <v>9.03</v>
      </c>
      <c r="F288" s="4" t="s">
        <v>469</v>
      </c>
      <c r="G288" s="4">
        <f t="shared" si="2"/>
        <v>9.03</v>
      </c>
      <c r="H288" s="4">
        <v>0.0</v>
      </c>
      <c r="I288" s="4" t="s">
        <v>204</v>
      </c>
      <c r="J288" s="4">
        <f t="shared" si="3"/>
        <v>0.08</v>
      </c>
      <c r="K288" s="4" t="s">
        <v>392</v>
      </c>
      <c r="L288" s="4">
        <f t="shared" si="4"/>
        <v>1.16</v>
      </c>
      <c r="M288" s="4" t="s">
        <v>470</v>
      </c>
      <c r="N288" s="4">
        <f t="shared" si="5"/>
        <v>7.79</v>
      </c>
      <c r="O288" s="4">
        <v>0.0</v>
      </c>
      <c r="P288" s="4">
        <f t="shared" si="6"/>
        <v>0</v>
      </c>
      <c r="Q288" s="4">
        <v>1.0</v>
      </c>
      <c r="R288" s="4">
        <v>25.0</v>
      </c>
      <c r="S288" s="4">
        <v>331.0</v>
      </c>
      <c r="T288" s="4">
        <v>528.0</v>
      </c>
      <c r="U288" s="4">
        <v>3224.0</v>
      </c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4">
        <v>4.702921684E9</v>
      </c>
      <c r="B289" s="4">
        <v>42678.0</v>
      </c>
      <c r="C289" s="4">
        <v>6499.0</v>
      </c>
      <c r="D289" s="4" t="s">
        <v>426</v>
      </c>
      <c r="E289" s="4">
        <f t="shared" si="1"/>
        <v>5.27</v>
      </c>
      <c r="F289" s="4" t="s">
        <v>426</v>
      </c>
      <c r="G289" s="4">
        <f t="shared" si="2"/>
        <v>5.27</v>
      </c>
      <c r="H289" s="4">
        <v>0.0</v>
      </c>
      <c r="I289" s="4">
        <v>0.0</v>
      </c>
      <c r="J289" s="4">
        <f t="shared" si="3"/>
        <v>0</v>
      </c>
      <c r="K289" s="4">
        <v>0.0</v>
      </c>
      <c r="L289" s="4">
        <f t="shared" si="4"/>
        <v>0</v>
      </c>
      <c r="M289" s="4" t="s">
        <v>426</v>
      </c>
      <c r="N289" s="4">
        <f t="shared" si="5"/>
        <v>5.27</v>
      </c>
      <c r="O289" s="4">
        <v>0.0</v>
      </c>
      <c r="P289" s="4">
        <f t="shared" si="6"/>
        <v>0</v>
      </c>
      <c r="Q289" s="4">
        <v>0.0</v>
      </c>
      <c r="R289" s="4">
        <v>0.0</v>
      </c>
      <c r="S289" s="4">
        <v>207.0</v>
      </c>
      <c r="T289" s="4">
        <v>809.0</v>
      </c>
      <c r="U289" s="4">
        <v>2677.0</v>
      </c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4">
        <v>4.702921684E9</v>
      </c>
      <c r="B290" s="4">
        <v>42708.0</v>
      </c>
      <c r="C290" s="4">
        <v>0.0</v>
      </c>
      <c r="D290" s="4">
        <v>0.0</v>
      </c>
      <c r="E290" s="4">
        <f t="shared" si="1"/>
        <v>0</v>
      </c>
      <c r="F290" s="4">
        <v>0.0</v>
      </c>
      <c r="G290" s="4">
        <f t="shared" si="2"/>
        <v>0</v>
      </c>
      <c r="H290" s="4">
        <v>0.0</v>
      </c>
      <c r="I290" s="4">
        <v>0.0</v>
      </c>
      <c r="J290" s="4">
        <f t="shared" si="3"/>
        <v>0</v>
      </c>
      <c r="K290" s="4">
        <v>0.0</v>
      </c>
      <c r="L290" s="4">
        <f t="shared" si="4"/>
        <v>0</v>
      </c>
      <c r="M290" s="4">
        <v>0.0</v>
      </c>
      <c r="N290" s="4">
        <f t="shared" si="5"/>
        <v>0</v>
      </c>
      <c r="O290" s="4">
        <v>0.0</v>
      </c>
      <c r="P290" s="4">
        <f t="shared" si="6"/>
        <v>0</v>
      </c>
      <c r="Q290" s="4">
        <v>0.0</v>
      </c>
      <c r="R290" s="4">
        <v>0.0</v>
      </c>
      <c r="S290" s="4">
        <v>0.0</v>
      </c>
      <c r="T290" s="4">
        <v>1440.0</v>
      </c>
      <c r="U290" s="4">
        <v>0.0</v>
      </c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4">
        <v>5.553957443E9</v>
      </c>
      <c r="B291" s="4">
        <v>42373.0</v>
      </c>
      <c r="C291" s="4">
        <v>12409.0</v>
      </c>
      <c r="D291" s="4" t="s">
        <v>89</v>
      </c>
      <c r="E291" s="4">
        <f t="shared" si="1"/>
        <v>8.1</v>
      </c>
      <c r="F291" s="4" t="s">
        <v>89</v>
      </c>
      <c r="G291" s="4">
        <f t="shared" si="2"/>
        <v>8.1</v>
      </c>
      <c r="H291" s="4">
        <v>0.0</v>
      </c>
      <c r="I291" s="4" t="s">
        <v>471</v>
      </c>
      <c r="J291" s="4">
        <f t="shared" si="3"/>
        <v>2.9</v>
      </c>
      <c r="K291" s="4" t="s">
        <v>182</v>
      </c>
      <c r="L291" s="4">
        <f t="shared" si="4"/>
        <v>0.63</v>
      </c>
      <c r="M291" s="4" t="s">
        <v>472</v>
      </c>
      <c r="N291" s="4">
        <f t="shared" si="5"/>
        <v>4.58</v>
      </c>
      <c r="O291" s="4">
        <v>0.0</v>
      </c>
      <c r="P291" s="4">
        <f t="shared" si="6"/>
        <v>0</v>
      </c>
      <c r="Q291" s="4">
        <v>51.0</v>
      </c>
      <c r="R291" s="4">
        <v>12.0</v>
      </c>
      <c r="S291" s="4">
        <v>235.0</v>
      </c>
      <c r="T291" s="4">
        <v>782.0</v>
      </c>
      <c r="U291" s="4">
        <v>2142.0</v>
      </c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4">
        <v>5.553957443E9</v>
      </c>
      <c r="B292" s="4">
        <v>42404.0</v>
      </c>
      <c r="C292" s="4">
        <v>2937.0</v>
      </c>
      <c r="D292" s="4" t="s">
        <v>220</v>
      </c>
      <c r="E292" s="4">
        <f t="shared" si="1"/>
        <v>1.92</v>
      </c>
      <c r="F292" s="4" t="s">
        <v>220</v>
      </c>
      <c r="G292" s="4">
        <f t="shared" si="2"/>
        <v>1.92</v>
      </c>
      <c r="H292" s="4">
        <v>0.0</v>
      </c>
      <c r="I292" s="4">
        <v>0.0</v>
      </c>
      <c r="J292" s="4">
        <f t="shared" si="3"/>
        <v>0</v>
      </c>
      <c r="K292" s="4">
        <v>0.0</v>
      </c>
      <c r="L292" s="4">
        <f t="shared" si="4"/>
        <v>0</v>
      </c>
      <c r="M292" s="4" t="s">
        <v>473</v>
      </c>
      <c r="N292" s="4">
        <f t="shared" si="5"/>
        <v>1.91</v>
      </c>
      <c r="O292" s="4">
        <v>0.0</v>
      </c>
      <c r="P292" s="4">
        <f t="shared" si="6"/>
        <v>0</v>
      </c>
      <c r="Q292" s="4">
        <v>0.0</v>
      </c>
      <c r="R292" s="4">
        <v>0.0</v>
      </c>
      <c r="S292" s="4">
        <v>181.0</v>
      </c>
      <c r="T292" s="4">
        <v>356.0</v>
      </c>
      <c r="U292" s="4">
        <v>1615.0</v>
      </c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4">
        <v>5.553957443E9</v>
      </c>
      <c r="B293" s="4">
        <v>42433.0</v>
      </c>
      <c r="C293" s="4">
        <v>1515.0</v>
      </c>
      <c r="D293" s="4" t="s">
        <v>474</v>
      </c>
      <c r="E293" s="4">
        <f t="shared" si="1"/>
        <v>0.99</v>
      </c>
      <c r="F293" s="4" t="s">
        <v>474</v>
      </c>
      <c r="G293" s="4">
        <f t="shared" si="2"/>
        <v>0.99</v>
      </c>
      <c r="H293" s="4">
        <v>0.0</v>
      </c>
      <c r="I293" s="4">
        <v>0.0</v>
      </c>
      <c r="J293" s="4">
        <f t="shared" si="3"/>
        <v>0</v>
      </c>
      <c r="K293" s="4">
        <v>0.0</v>
      </c>
      <c r="L293" s="4">
        <f t="shared" si="4"/>
        <v>0</v>
      </c>
      <c r="M293" s="4" t="s">
        <v>474</v>
      </c>
      <c r="N293" s="4">
        <f t="shared" si="5"/>
        <v>0.99</v>
      </c>
      <c r="O293" s="4">
        <v>0.0</v>
      </c>
      <c r="P293" s="4">
        <f t="shared" si="6"/>
        <v>0</v>
      </c>
      <c r="Q293" s="4">
        <v>0.0</v>
      </c>
      <c r="R293" s="4">
        <v>0.0</v>
      </c>
      <c r="S293" s="4">
        <v>93.0</v>
      </c>
      <c r="T293" s="4">
        <v>507.0</v>
      </c>
      <c r="U293" s="4">
        <v>1481.0</v>
      </c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4">
        <v>5.553957443E9</v>
      </c>
      <c r="B294" s="4">
        <v>42464.0</v>
      </c>
      <c r="C294" s="4">
        <v>8921.0</v>
      </c>
      <c r="D294" s="4" t="s">
        <v>475</v>
      </c>
      <c r="E294" s="4">
        <f t="shared" si="1"/>
        <v>5.88</v>
      </c>
      <c r="F294" s="4" t="s">
        <v>475</v>
      </c>
      <c r="G294" s="4">
        <f t="shared" si="2"/>
        <v>5.88</v>
      </c>
      <c r="H294" s="4">
        <v>0.0</v>
      </c>
      <c r="I294" s="4" t="s">
        <v>476</v>
      </c>
      <c r="J294" s="4">
        <f t="shared" si="3"/>
        <v>2.07</v>
      </c>
      <c r="K294" s="4" t="s">
        <v>477</v>
      </c>
      <c r="L294" s="4">
        <f t="shared" si="4"/>
        <v>0.44</v>
      </c>
      <c r="M294" s="4" t="s">
        <v>266</v>
      </c>
      <c r="N294" s="4">
        <f t="shared" si="5"/>
        <v>3.36</v>
      </c>
      <c r="O294" s="4">
        <v>0.0</v>
      </c>
      <c r="P294" s="4">
        <f t="shared" si="6"/>
        <v>0</v>
      </c>
      <c r="Q294" s="4">
        <v>27.0</v>
      </c>
      <c r="R294" s="4">
        <v>8.0</v>
      </c>
      <c r="S294" s="4">
        <v>198.0</v>
      </c>
      <c r="T294" s="4">
        <v>754.0</v>
      </c>
      <c r="U294" s="4">
        <v>1892.0</v>
      </c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4">
        <v>5.553957443E9</v>
      </c>
      <c r="B295" s="4">
        <v>42494.0</v>
      </c>
      <c r="C295" s="4">
        <v>11306.0</v>
      </c>
      <c r="D295" s="4" t="s">
        <v>478</v>
      </c>
      <c r="E295" s="4">
        <f t="shared" si="1"/>
        <v>7.38</v>
      </c>
      <c r="F295" s="4" t="s">
        <v>478</v>
      </c>
      <c r="G295" s="4">
        <f t="shared" si="2"/>
        <v>7.38</v>
      </c>
      <c r="H295" s="4">
        <v>0.0</v>
      </c>
      <c r="I295" s="4" t="s">
        <v>341</v>
      </c>
      <c r="J295" s="4">
        <f t="shared" si="3"/>
        <v>2.31</v>
      </c>
      <c r="K295" s="4" t="s">
        <v>191</v>
      </c>
      <c r="L295" s="4">
        <f t="shared" si="4"/>
        <v>0.98</v>
      </c>
      <c r="M295" s="4" t="s">
        <v>356</v>
      </c>
      <c r="N295" s="4">
        <f t="shared" si="5"/>
        <v>4.09</v>
      </c>
      <c r="O295" s="4">
        <v>0.0</v>
      </c>
      <c r="P295" s="4">
        <f t="shared" si="6"/>
        <v>0</v>
      </c>
      <c r="Q295" s="4">
        <v>40.0</v>
      </c>
      <c r="R295" s="4">
        <v>26.0</v>
      </c>
      <c r="S295" s="4">
        <v>218.0</v>
      </c>
      <c r="T295" s="4">
        <v>772.0</v>
      </c>
      <c r="U295" s="4">
        <v>2086.0</v>
      </c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4">
        <v>5.553957443E9</v>
      </c>
      <c r="B296" s="4">
        <v>42525.0</v>
      </c>
      <c r="C296" s="4">
        <v>12252.0</v>
      </c>
      <c r="D296" s="4">
        <v>8.0</v>
      </c>
      <c r="E296" s="4">
        <f t="shared" si="1"/>
        <v>8</v>
      </c>
      <c r="F296" s="4">
        <v>8.0</v>
      </c>
      <c r="G296" s="4">
        <f t="shared" si="2"/>
        <v>8</v>
      </c>
      <c r="H296" s="4">
        <v>0.0</v>
      </c>
      <c r="I296" s="4" t="s">
        <v>150</v>
      </c>
      <c r="J296" s="4">
        <f t="shared" si="3"/>
        <v>2.41</v>
      </c>
      <c r="K296" s="4" t="s">
        <v>479</v>
      </c>
      <c r="L296" s="4">
        <f t="shared" si="4"/>
        <v>1.7</v>
      </c>
      <c r="M296" s="4" t="s">
        <v>480</v>
      </c>
      <c r="N296" s="4">
        <f t="shared" si="5"/>
        <v>3.89</v>
      </c>
      <c r="O296" s="4">
        <v>0.0</v>
      </c>
      <c r="P296" s="4">
        <f t="shared" si="6"/>
        <v>0</v>
      </c>
      <c r="Q296" s="4">
        <v>33.0</v>
      </c>
      <c r="R296" s="4">
        <v>28.0</v>
      </c>
      <c r="S296" s="4">
        <v>229.0</v>
      </c>
      <c r="T296" s="4">
        <v>745.0</v>
      </c>
      <c r="U296" s="4">
        <v>2044.0</v>
      </c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4">
        <v>5.553957443E9</v>
      </c>
      <c r="B297" s="4">
        <v>42555.0</v>
      </c>
      <c r="C297" s="4">
        <v>15444.0</v>
      </c>
      <c r="D297" s="4" t="s">
        <v>481</v>
      </c>
      <c r="E297" s="4">
        <f t="shared" si="1"/>
        <v>10.08</v>
      </c>
      <c r="F297" s="4" t="s">
        <v>481</v>
      </c>
      <c r="G297" s="4">
        <f t="shared" si="2"/>
        <v>10.08</v>
      </c>
      <c r="H297" s="4">
        <v>0.0</v>
      </c>
      <c r="I297" s="4" t="s">
        <v>236</v>
      </c>
      <c r="J297" s="4">
        <f t="shared" si="3"/>
        <v>3.27</v>
      </c>
      <c r="K297" s="4" t="s">
        <v>482</v>
      </c>
      <c r="L297" s="4">
        <f t="shared" si="4"/>
        <v>1.73</v>
      </c>
      <c r="M297" s="4" t="s">
        <v>483</v>
      </c>
      <c r="N297" s="4">
        <f t="shared" si="5"/>
        <v>5.08</v>
      </c>
      <c r="O297" s="4">
        <v>0.0</v>
      </c>
      <c r="P297" s="4">
        <f t="shared" si="6"/>
        <v>0</v>
      </c>
      <c r="Q297" s="4">
        <v>51.0</v>
      </c>
      <c r="R297" s="4">
        <v>39.0</v>
      </c>
      <c r="S297" s="4">
        <v>243.0</v>
      </c>
      <c r="T297" s="4">
        <v>731.0</v>
      </c>
      <c r="U297" s="4">
        <v>2249.0</v>
      </c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4">
        <v>5.553957443E9</v>
      </c>
      <c r="B298" s="4">
        <v>42586.0</v>
      </c>
      <c r="C298" s="4">
        <v>9938.0</v>
      </c>
      <c r="D298" s="4" t="s">
        <v>484</v>
      </c>
      <c r="E298" s="4">
        <f t="shared" si="1"/>
        <v>6.49</v>
      </c>
      <c r="F298" s="4" t="s">
        <v>484</v>
      </c>
      <c r="G298" s="4">
        <f t="shared" si="2"/>
        <v>6.49</v>
      </c>
      <c r="H298" s="4">
        <v>0.0</v>
      </c>
      <c r="I298" s="4" t="s">
        <v>335</v>
      </c>
      <c r="J298" s="4">
        <f t="shared" si="3"/>
        <v>2.14</v>
      </c>
      <c r="K298" s="4" t="s">
        <v>69</v>
      </c>
      <c r="L298" s="4">
        <f t="shared" si="4"/>
        <v>1.28</v>
      </c>
      <c r="M298" s="4" t="s">
        <v>485</v>
      </c>
      <c r="N298" s="4">
        <f t="shared" si="5"/>
        <v>3.08</v>
      </c>
      <c r="O298" s="4">
        <v>0.0</v>
      </c>
      <c r="P298" s="4">
        <f t="shared" si="6"/>
        <v>0</v>
      </c>
      <c r="Q298" s="4">
        <v>38.0</v>
      </c>
      <c r="R298" s="4">
        <v>24.0</v>
      </c>
      <c r="S298" s="4">
        <v>193.0</v>
      </c>
      <c r="T298" s="4">
        <v>767.0</v>
      </c>
      <c r="U298" s="4">
        <v>2019.0</v>
      </c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4">
        <v>5.553957443E9</v>
      </c>
      <c r="B299" s="4">
        <v>42617.0</v>
      </c>
      <c r="C299" s="4">
        <v>4599.0</v>
      </c>
      <c r="D299" s="4">
        <v>3.0</v>
      </c>
      <c r="E299" s="4">
        <f t="shared" si="1"/>
        <v>3</v>
      </c>
      <c r="F299" s="4">
        <v>3.0</v>
      </c>
      <c r="G299" s="4">
        <f t="shared" si="2"/>
        <v>3</v>
      </c>
      <c r="H299" s="4">
        <v>0.0</v>
      </c>
      <c r="I299" s="4">
        <v>0.0</v>
      </c>
      <c r="J299" s="4">
        <f t="shared" si="3"/>
        <v>0</v>
      </c>
      <c r="K299" s="4">
        <v>0.0</v>
      </c>
      <c r="L299" s="4">
        <f t="shared" si="4"/>
        <v>0</v>
      </c>
      <c r="M299" s="4">
        <v>3.0</v>
      </c>
      <c r="N299" s="4">
        <f t="shared" si="5"/>
        <v>3</v>
      </c>
      <c r="O299" s="4">
        <v>0.0</v>
      </c>
      <c r="P299" s="4">
        <f t="shared" si="6"/>
        <v>0</v>
      </c>
      <c r="Q299" s="4">
        <v>0.0</v>
      </c>
      <c r="R299" s="4">
        <v>0.0</v>
      </c>
      <c r="S299" s="4">
        <v>176.0</v>
      </c>
      <c r="T299" s="4">
        <v>578.0</v>
      </c>
      <c r="U299" s="4">
        <v>1692.0</v>
      </c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4">
        <v>5.553957443E9</v>
      </c>
      <c r="B300" s="4">
        <v>42647.0</v>
      </c>
      <c r="C300" s="4">
        <v>5594.0</v>
      </c>
      <c r="D300" s="4" t="s">
        <v>383</v>
      </c>
      <c r="E300" s="4">
        <f t="shared" si="1"/>
        <v>3.65</v>
      </c>
      <c r="F300" s="4" t="s">
        <v>383</v>
      </c>
      <c r="G300" s="4">
        <f t="shared" si="2"/>
        <v>3.65</v>
      </c>
      <c r="H300" s="4">
        <v>0.0</v>
      </c>
      <c r="I300" s="4" t="s">
        <v>486</v>
      </c>
      <c r="J300" s="4">
        <f t="shared" si="3"/>
        <v>0.28</v>
      </c>
      <c r="K300" s="4" t="s">
        <v>487</v>
      </c>
      <c r="L300" s="4">
        <f t="shared" si="4"/>
        <v>1.48</v>
      </c>
      <c r="M300" s="4" t="s">
        <v>113</v>
      </c>
      <c r="N300" s="4">
        <f t="shared" si="5"/>
        <v>1.89</v>
      </c>
      <c r="O300" s="4">
        <v>0.0</v>
      </c>
      <c r="P300" s="4">
        <f t="shared" si="6"/>
        <v>0</v>
      </c>
      <c r="Q300" s="4">
        <v>4.0</v>
      </c>
      <c r="R300" s="4">
        <v>25.0</v>
      </c>
      <c r="S300" s="4">
        <v>150.0</v>
      </c>
      <c r="T300" s="4">
        <v>552.0</v>
      </c>
      <c r="U300" s="4">
        <v>1712.0</v>
      </c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4">
        <v>5.553957443E9</v>
      </c>
      <c r="B301" s="4">
        <v>42678.0</v>
      </c>
      <c r="C301" s="4">
        <v>11906.0</v>
      </c>
      <c r="D301" s="4" t="s">
        <v>488</v>
      </c>
      <c r="E301" s="4">
        <f t="shared" si="1"/>
        <v>7.77</v>
      </c>
      <c r="F301" s="4" t="s">
        <v>488</v>
      </c>
      <c r="G301" s="4">
        <f t="shared" si="2"/>
        <v>7.77</v>
      </c>
      <c r="H301" s="4">
        <v>0.0</v>
      </c>
      <c r="I301" s="4" t="s">
        <v>489</v>
      </c>
      <c r="J301" s="4">
        <f t="shared" si="3"/>
        <v>2.26</v>
      </c>
      <c r="K301" s="4" t="s">
        <v>143</v>
      </c>
      <c r="L301" s="4">
        <f t="shared" si="4"/>
        <v>1.52</v>
      </c>
      <c r="M301" s="4" t="s">
        <v>366</v>
      </c>
      <c r="N301" s="4">
        <f t="shared" si="5"/>
        <v>3.99</v>
      </c>
      <c r="O301" s="4">
        <v>0.0</v>
      </c>
      <c r="P301" s="4">
        <f t="shared" si="6"/>
        <v>0</v>
      </c>
      <c r="Q301" s="4">
        <v>32.0</v>
      </c>
      <c r="R301" s="4">
        <v>27.0</v>
      </c>
      <c r="S301" s="4">
        <v>234.0</v>
      </c>
      <c r="T301" s="4">
        <v>688.0</v>
      </c>
      <c r="U301" s="4">
        <v>2065.0</v>
      </c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4">
        <v>5.553957443E9</v>
      </c>
      <c r="B302" s="4">
        <v>42708.0</v>
      </c>
      <c r="C302" s="4">
        <v>3436.0</v>
      </c>
      <c r="D302" s="4" t="s">
        <v>490</v>
      </c>
      <c r="E302" s="4">
        <f t="shared" si="1"/>
        <v>2.24</v>
      </c>
      <c r="F302" s="4" t="s">
        <v>490</v>
      </c>
      <c r="G302" s="4">
        <f t="shared" si="2"/>
        <v>2.24</v>
      </c>
      <c r="H302" s="4">
        <v>0.0</v>
      </c>
      <c r="I302" s="4" t="s">
        <v>385</v>
      </c>
      <c r="J302" s="4">
        <f t="shared" si="3"/>
        <v>0.5</v>
      </c>
      <c r="K302" s="4" t="s">
        <v>491</v>
      </c>
      <c r="L302" s="4">
        <f t="shared" si="4"/>
        <v>0.67</v>
      </c>
      <c r="M302" s="4" t="s">
        <v>205</v>
      </c>
      <c r="N302" s="4">
        <f t="shared" si="5"/>
        <v>1.05</v>
      </c>
      <c r="O302" s="4">
        <v>0.0</v>
      </c>
      <c r="P302" s="4">
        <f t="shared" si="6"/>
        <v>0</v>
      </c>
      <c r="Q302" s="4">
        <v>7.0</v>
      </c>
      <c r="R302" s="4">
        <v>11.0</v>
      </c>
      <c r="S302" s="4">
        <v>50.0</v>
      </c>
      <c r="T302" s="4">
        <v>61.0</v>
      </c>
      <c r="U302" s="4">
        <v>633.0</v>
      </c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4">
        <v>5.577150313E9</v>
      </c>
      <c r="B303" s="4">
        <v>42373.0</v>
      </c>
      <c r="C303" s="4">
        <v>10461.0</v>
      </c>
      <c r="D303" s="4" t="s">
        <v>59</v>
      </c>
      <c r="E303" s="4">
        <f t="shared" si="1"/>
        <v>7.87</v>
      </c>
      <c r="F303" s="4" t="s">
        <v>59</v>
      </c>
      <c r="G303" s="4">
        <f t="shared" si="2"/>
        <v>7.87</v>
      </c>
      <c r="H303" s="4">
        <v>0.0</v>
      </c>
      <c r="I303" s="4" t="s">
        <v>492</v>
      </c>
      <c r="J303" s="4">
        <f t="shared" si="3"/>
        <v>4.76</v>
      </c>
      <c r="K303" s="4" t="s">
        <v>417</v>
      </c>
      <c r="L303" s="4">
        <f t="shared" si="4"/>
        <v>0.85</v>
      </c>
      <c r="M303" s="4" t="s">
        <v>493</v>
      </c>
      <c r="N303" s="4">
        <f t="shared" si="5"/>
        <v>2.25</v>
      </c>
      <c r="O303" s="4">
        <v>0.0</v>
      </c>
      <c r="P303" s="4">
        <f t="shared" si="6"/>
        <v>0</v>
      </c>
      <c r="Q303" s="4">
        <v>99.0</v>
      </c>
      <c r="R303" s="4">
        <v>31.0</v>
      </c>
      <c r="S303" s="4">
        <v>142.0</v>
      </c>
      <c r="T303" s="4">
        <v>721.0</v>
      </c>
      <c r="U303" s="4">
        <v>3625.0</v>
      </c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4">
        <v>5.577150313E9</v>
      </c>
      <c r="B304" s="4">
        <v>42404.0</v>
      </c>
      <c r="C304" s="4">
        <v>14873.0</v>
      </c>
      <c r="D304" s="4" t="s">
        <v>494</v>
      </c>
      <c r="E304" s="4">
        <f t="shared" si="1"/>
        <v>11.11</v>
      </c>
      <c r="F304" s="4" t="s">
        <v>494</v>
      </c>
      <c r="G304" s="4">
        <f t="shared" si="2"/>
        <v>11.11</v>
      </c>
      <c r="H304" s="4">
        <v>0.0</v>
      </c>
      <c r="I304" s="4" t="s">
        <v>495</v>
      </c>
      <c r="J304" s="4">
        <f t="shared" si="3"/>
        <v>8.19</v>
      </c>
      <c r="K304" s="4" t="s">
        <v>267</v>
      </c>
      <c r="L304" s="4">
        <f t="shared" si="4"/>
        <v>0.6</v>
      </c>
      <c r="M304" s="4" t="s">
        <v>341</v>
      </c>
      <c r="N304" s="4">
        <f t="shared" si="5"/>
        <v>2.31</v>
      </c>
      <c r="O304" s="4">
        <v>0.0</v>
      </c>
      <c r="P304" s="4">
        <f t="shared" si="6"/>
        <v>0</v>
      </c>
      <c r="Q304" s="4">
        <v>202.0</v>
      </c>
      <c r="R304" s="4">
        <v>36.0</v>
      </c>
      <c r="S304" s="4">
        <v>153.0</v>
      </c>
      <c r="T304" s="4">
        <v>663.0</v>
      </c>
      <c r="U304" s="4">
        <v>4430.0</v>
      </c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4">
        <v>5.577150313E9</v>
      </c>
      <c r="B305" s="4">
        <v>42433.0</v>
      </c>
      <c r="C305" s="4">
        <v>9917.0</v>
      </c>
      <c r="D305" s="4" t="s">
        <v>358</v>
      </c>
      <c r="E305" s="4">
        <f t="shared" si="1"/>
        <v>7.41</v>
      </c>
      <c r="F305" s="4" t="s">
        <v>358</v>
      </c>
      <c r="G305" s="4">
        <f t="shared" si="2"/>
        <v>7.41</v>
      </c>
      <c r="H305" s="4">
        <v>0.0</v>
      </c>
      <c r="I305" s="4" t="s">
        <v>310</v>
      </c>
      <c r="J305" s="4">
        <f t="shared" si="3"/>
        <v>1.99</v>
      </c>
      <c r="K305" s="4" t="s">
        <v>157</v>
      </c>
      <c r="L305" s="4">
        <f t="shared" si="4"/>
        <v>0.97</v>
      </c>
      <c r="M305" s="4" t="s">
        <v>328</v>
      </c>
      <c r="N305" s="4">
        <f t="shared" si="5"/>
        <v>4.44</v>
      </c>
      <c r="O305" s="4">
        <v>0.0</v>
      </c>
      <c r="P305" s="4">
        <f t="shared" si="6"/>
        <v>0</v>
      </c>
      <c r="Q305" s="4">
        <v>58.0</v>
      </c>
      <c r="R305" s="4">
        <v>27.0</v>
      </c>
      <c r="S305" s="4">
        <v>240.0</v>
      </c>
      <c r="T305" s="4">
        <v>700.0</v>
      </c>
      <c r="U305" s="4">
        <v>3427.0</v>
      </c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4">
        <v>5.577150313E9</v>
      </c>
      <c r="B306" s="4">
        <v>42464.0</v>
      </c>
      <c r="C306" s="4">
        <v>7401.0</v>
      </c>
      <c r="D306" s="4" t="s">
        <v>496</v>
      </c>
      <c r="E306" s="4">
        <f t="shared" si="1"/>
        <v>5.56</v>
      </c>
      <c r="F306" s="4" t="s">
        <v>496</v>
      </c>
      <c r="G306" s="4">
        <f t="shared" si="2"/>
        <v>5.56</v>
      </c>
      <c r="H306" s="4">
        <v>0.0</v>
      </c>
      <c r="I306" s="4" t="s">
        <v>120</v>
      </c>
      <c r="J306" s="4">
        <f t="shared" si="3"/>
        <v>2.32</v>
      </c>
      <c r="K306" s="4" t="s">
        <v>174</v>
      </c>
      <c r="L306" s="4">
        <f t="shared" si="4"/>
        <v>0.36</v>
      </c>
      <c r="M306" s="4" t="s">
        <v>497</v>
      </c>
      <c r="N306" s="4">
        <f t="shared" si="5"/>
        <v>2.88</v>
      </c>
      <c r="O306" s="4">
        <v>0.0</v>
      </c>
      <c r="P306" s="4">
        <f t="shared" si="6"/>
        <v>0</v>
      </c>
      <c r="Q306" s="4">
        <v>70.0</v>
      </c>
      <c r="R306" s="4">
        <v>19.0</v>
      </c>
      <c r="S306" s="4">
        <v>204.0</v>
      </c>
      <c r="T306" s="4">
        <v>689.0</v>
      </c>
      <c r="U306" s="4">
        <v>3492.0</v>
      </c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4">
        <v>5.577150313E9</v>
      </c>
      <c r="B307" s="4">
        <v>42494.0</v>
      </c>
      <c r="C307" s="4">
        <v>8964.0</v>
      </c>
      <c r="D307" s="4" t="s">
        <v>498</v>
      </c>
      <c r="E307" s="4">
        <f t="shared" si="1"/>
        <v>6.7</v>
      </c>
      <c r="F307" s="4" t="s">
        <v>498</v>
      </c>
      <c r="G307" s="4">
        <f t="shared" si="2"/>
        <v>6.7</v>
      </c>
      <c r="H307" s="4">
        <v>0.0</v>
      </c>
      <c r="I307" s="4" t="s">
        <v>338</v>
      </c>
      <c r="J307" s="4">
        <f t="shared" si="3"/>
        <v>3.97</v>
      </c>
      <c r="K307" s="4" t="s">
        <v>270</v>
      </c>
      <c r="L307" s="4">
        <f t="shared" si="4"/>
        <v>0.19</v>
      </c>
      <c r="M307" s="4" t="s">
        <v>434</v>
      </c>
      <c r="N307" s="4">
        <f t="shared" si="5"/>
        <v>2.53</v>
      </c>
      <c r="O307" s="4">
        <v>0.0</v>
      </c>
      <c r="P307" s="4">
        <f t="shared" si="6"/>
        <v>0</v>
      </c>
      <c r="Q307" s="4">
        <v>107.0</v>
      </c>
      <c r="R307" s="4">
        <v>18.0</v>
      </c>
      <c r="S307" s="4">
        <v>145.0</v>
      </c>
      <c r="T307" s="4">
        <v>756.0</v>
      </c>
      <c r="U307" s="4">
        <v>3597.0</v>
      </c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4">
        <v>5.577150313E9</v>
      </c>
      <c r="B308" s="4">
        <v>42525.0</v>
      </c>
      <c r="C308" s="4">
        <v>11080.0</v>
      </c>
      <c r="D308" s="4" t="s">
        <v>499</v>
      </c>
      <c r="E308" s="4">
        <f t="shared" si="1"/>
        <v>8.3</v>
      </c>
      <c r="F308" s="4" t="s">
        <v>499</v>
      </c>
      <c r="G308" s="4">
        <f t="shared" si="2"/>
        <v>8.3</v>
      </c>
      <c r="H308" s="4">
        <v>0.0</v>
      </c>
      <c r="I308" s="4" t="s">
        <v>367</v>
      </c>
      <c r="J308" s="4">
        <f t="shared" si="3"/>
        <v>3.13</v>
      </c>
      <c r="K308" s="4" t="s">
        <v>500</v>
      </c>
      <c r="L308" s="4">
        <f t="shared" si="4"/>
        <v>1.37</v>
      </c>
      <c r="M308" s="4" t="s">
        <v>501</v>
      </c>
      <c r="N308" s="4">
        <f t="shared" si="5"/>
        <v>3.81</v>
      </c>
      <c r="O308" s="4">
        <v>0.0</v>
      </c>
      <c r="P308" s="4">
        <f t="shared" si="6"/>
        <v>0</v>
      </c>
      <c r="Q308" s="4">
        <v>83.0</v>
      </c>
      <c r="R308" s="4">
        <v>52.0</v>
      </c>
      <c r="S308" s="4">
        <v>190.0</v>
      </c>
      <c r="T308" s="4">
        <v>695.0</v>
      </c>
      <c r="U308" s="4">
        <v>3765.0</v>
      </c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4">
        <v>5.577150313E9</v>
      </c>
      <c r="B309" s="4">
        <v>42555.0</v>
      </c>
      <c r="C309" s="4">
        <v>4499.0</v>
      </c>
      <c r="D309" s="4" t="s">
        <v>266</v>
      </c>
      <c r="E309" s="4">
        <f t="shared" si="1"/>
        <v>3.36</v>
      </c>
      <c r="F309" s="4" t="s">
        <v>266</v>
      </c>
      <c r="G309" s="4">
        <f t="shared" si="2"/>
        <v>3.36</v>
      </c>
      <c r="H309" s="4">
        <v>0.0</v>
      </c>
      <c r="I309" s="4" t="s">
        <v>186</v>
      </c>
      <c r="J309" s="4">
        <f t="shared" si="3"/>
        <v>0.89</v>
      </c>
      <c r="K309" s="4" t="s">
        <v>354</v>
      </c>
      <c r="L309" s="4">
        <f t="shared" si="4"/>
        <v>0.26</v>
      </c>
      <c r="M309" s="4" t="s">
        <v>171</v>
      </c>
      <c r="N309" s="4">
        <f t="shared" si="5"/>
        <v>2.21</v>
      </c>
      <c r="O309" s="4">
        <v>0.0</v>
      </c>
      <c r="P309" s="4">
        <f t="shared" si="6"/>
        <v>0</v>
      </c>
      <c r="Q309" s="4">
        <v>31.0</v>
      </c>
      <c r="R309" s="4">
        <v>11.0</v>
      </c>
      <c r="S309" s="4">
        <v>146.0</v>
      </c>
      <c r="T309" s="4">
        <v>756.0</v>
      </c>
      <c r="U309" s="4">
        <v>2775.0</v>
      </c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4">
        <v>5.577150313E9</v>
      </c>
      <c r="B310" s="4">
        <v>42586.0</v>
      </c>
      <c r="C310" s="4">
        <v>4363.0</v>
      </c>
      <c r="D310" s="4" t="s">
        <v>502</v>
      </c>
      <c r="E310" s="4">
        <f t="shared" si="1"/>
        <v>3.26</v>
      </c>
      <c r="F310" s="4" t="s">
        <v>502</v>
      </c>
      <c r="G310" s="4">
        <f t="shared" si="2"/>
        <v>3.26</v>
      </c>
      <c r="H310" s="4">
        <v>0.0</v>
      </c>
      <c r="I310" s="4" t="s">
        <v>99</v>
      </c>
      <c r="J310" s="4">
        <f t="shared" si="3"/>
        <v>0.13</v>
      </c>
      <c r="K310" s="4" t="s">
        <v>224</v>
      </c>
      <c r="L310" s="4">
        <f t="shared" si="4"/>
        <v>0.06</v>
      </c>
      <c r="M310" s="4" t="s">
        <v>485</v>
      </c>
      <c r="N310" s="4">
        <f t="shared" si="5"/>
        <v>3.08</v>
      </c>
      <c r="O310" s="4">
        <v>0.0</v>
      </c>
      <c r="P310" s="4">
        <f t="shared" si="6"/>
        <v>0</v>
      </c>
      <c r="Q310" s="4">
        <v>8.0</v>
      </c>
      <c r="R310" s="4">
        <v>2.0</v>
      </c>
      <c r="S310" s="4">
        <v>156.0</v>
      </c>
      <c r="T310" s="4">
        <v>813.0</v>
      </c>
      <c r="U310" s="4">
        <v>2486.0</v>
      </c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4">
        <v>5.577150313E9</v>
      </c>
      <c r="B311" s="4">
        <v>42617.0</v>
      </c>
      <c r="C311" s="4">
        <v>10494.0</v>
      </c>
      <c r="D311" s="4" t="s">
        <v>503</v>
      </c>
      <c r="E311" s="4">
        <f t="shared" si="1"/>
        <v>7.84</v>
      </c>
      <c r="F311" s="4" t="s">
        <v>503</v>
      </c>
      <c r="G311" s="4">
        <f t="shared" si="2"/>
        <v>7.84</v>
      </c>
      <c r="H311" s="4">
        <v>0.0</v>
      </c>
      <c r="I311" s="4" t="s">
        <v>313</v>
      </c>
      <c r="J311" s="4">
        <f t="shared" si="3"/>
        <v>4.91</v>
      </c>
      <c r="K311" s="4" t="s">
        <v>128</v>
      </c>
      <c r="L311" s="4">
        <f t="shared" si="4"/>
        <v>0.78</v>
      </c>
      <c r="M311" s="4" t="s">
        <v>110</v>
      </c>
      <c r="N311" s="4">
        <f t="shared" si="5"/>
        <v>2.15</v>
      </c>
      <c r="O311" s="4">
        <v>0.0</v>
      </c>
      <c r="P311" s="4">
        <f t="shared" si="6"/>
        <v>0</v>
      </c>
      <c r="Q311" s="4">
        <v>123.0</v>
      </c>
      <c r="R311" s="4">
        <v>62.0</v>
      </c>
      <c r="S311" s="4">
        <v>138.0</v>
      </c>
      <c r="T311" s="4">
        <v>601.0</v>
      </c>
      <c r="U311" s="4">
        <v>3817.0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4">
        <v>5.577150313E9</v>
      </c>
      <c r="B312" s="4">
        <v>42647.0</v>
      </c>
      <c r="C312" s="4">
        <v>9776.0</v>
      </c>
      <c r="D312" s="4" t="s">
        <v>478</v>
      </c>
      <c r="E312" s="4">
        <f t="shared" si="1"/>
        <v>7.38</v>
      </c>
      <c r="F312" s="4" t="s">
        <v>478</v>
      </c>
      <c r="G312" s="4">
        <f t="shared" si="2"/>
        <v>7.38</v>
      </c>
      <c r="H312" s="4">
        <v>0.0</v>
      </c>
      <c r="I312" s="4" t="s">
        <v>108</v>
      </c>
      <c r="J312" s="4">
        <f t="shared" si="3"/>
        <v>2.93</v>
      </c>
      <c r="K312" s="4" t="s">
        <v>215</v>
      </c>
      <c r="L312" s="4">
        <f t="shared" si="4"/>
        <v>1.43</v>
      </c>
      <c r="M312" s="4" t="s">
        <v>282</v>
      </c>
      <c r="N312" s="4">
        <f t="shared" si="5"/>
        <v>3.02</v>
      </c>
      <c r="O312" s="4">
        <v>0.0</v>
      </c>
      <c r="P312" s="4">
        <f t="shared" si="6"/>
        <v>0</v>
      </c>
      <c r="Q312" s="4">
        <v>80.0</v>
      </c>
      <c r="R312" s="4">
        <v>35.0</v>
      </c>
      <c r="S312" s="4">
        <v>162.0</v>
      </c>
      <c r="T312" s="4">
        <v>721.0</v>
      </c>
      <c r="U312" s="4">
        <v>3378.0</v>
      </c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4">
        <v>5.577150313E9</v>
      </c>
      <c r="B313" s="4">
        <v>42678.0</v>
      </c>
      <c r="C313" s="4">
        <v>2862.0</v>
      </c>
      <c r="D313" s="4" t="s">
        <v>335</v>
      </c>
      <c r="E313" s="4">
        <f t="shared" si="1"/>
        <v>2.14</v>
      </c>
      <c r="F313" s="4" t="s">
        <v>335</v>
      </c>
      <c r="G313" s="4">
        <f t="shared" si="2"/>
        <v>2.14</v>
      </c>
      <c r="H313" s="4">
        <v>0.0</v>
      </c>
      <c r="I313" s="4" t="s">
        <v>308</v>
      </c>
      <c r="J313" s="4">
        <f t="shared" si="3"/>
        <v>1.04</v>
      </c>
      <c r="K313" s="4" t="s">
        <v>124</v>
      </c>
      <c r="L313" s="4">
        <f t="shared" si="4"/>
        <v>0.25</v>
      </c>
      <c r="M313" s="4" t="s">
        <v>178</v>
      </c>
      <c r="N313" s="4">
        <f t="shared" si="5"/>
        <v>0.84</v>
      </c>
      <c r="O313" s="4">
        <v>0.0</v>
      </c>
      <c r="P313" s="4">
        <f t="shared" si="6"/>
        <v>0</v>
      </c>
      <c r="Q313" s="4">
        <v>39.0</v>
      </c>
      <c r="R313" s="4">
        <v>17.0</v>
      </c>
      <c r="S313" s="4">
        <v>54.0</v>
      </c>
      <c r="T313" s="4">
        <v>209.0</v>
      </c>
      <c r="U313" s="4">
        <v>1511.0</v>
      </c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4">
        <v>6.11766616E9</v>
      </c>
      <c r="B314" s="4">
        <v>42373.0</v>
      </c>
      <c r="C314" s="4">
        <v>7444.0</v>
      </c>
      <c r="D314" s="4" t="s">
        <v>504</v>
      </c>
      <c r="E314" s="4">
        <f t="shared" si="1"/>
        <v>5.62</v>
      </c>
      <c r="F314" s="4" t="s">
        <v>504</v>
      </c>
      <c r="G314" s="4">
        <f t="shared" si="2"/>
        <v>5.62</v>
      </c>
      <c r="H314" s="4">
        <v>0.0</v>
      </c>
      <c r="I314" s="4">
        <v>0.0</v>
      </c>
      <c r="J314" s="4">
        <f t="shared" si="3"/>
        <v>0</v>
      </c>
      <c r="K314" s="4">
        <v>0.0</v>
      </c>
      <c r="L314" s="4">
        <f t="shared" si="4"/>
        <v>0</v>
      </c>
      <c r="M314" s="4" t="s">
        <v>504</v>
      </c>
      <c r="N314" s="4">
        <f t="shared" si="5"/>
        <v>5.62</v>
      </c>
      <c r="O314" s="4">
        <v>0.0</v>
      </c>
      <c r="P314" s="4">
        <f t="shared" si="6"/>
        <v>0</v>
      </c>
      <c r="Q314" s="4">
        <v>0.0</v>
      </c>
      <c r="R314" s="4">
        <v>0.0</v>
      </c>
      <c r="S314" s="4">
        <v>286.0</v>
      </c>
      <c r="T314" s="4">
        <v>568.0</v>
      </c>
      <c r="U314" s="4">
        <v>2210.0</v>
      </c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4">
        <v>6.11766616E9</v>
      </c>
      <c r="B315" s="4">
        <v>42404.0</v>
      </c>
      <c r="C315" s="4">
        <v>19658.0</v>
      </c>
      <c r="D315" s="4" t="s">
        <v>505</v>
      </c>
      <c r="E315" s="4">
        <f t="shared" si="1"/>
        <v>14.84</v>
      </c>
      <c r="F315" s="4" t="s">
        <v>505</v>
      </c>
      <c r="G315" s="4">
        <f t="shared" si="2"/>
        <v>14.84</v>
      </c>
      <c r="H315" s="4">
        <v>0.0</v>
      </c>
      <c r="I315" s="4" t="s">
        <v>394</v>
      </c>
      <c r="J315" s="4">
        <f t="shared" si="3"/>
        <v>0.24</v>
      </c>
      <c r="K315" s="4" t="s">
        <v>395</v>
      </c>
      <c r="L315" s="4">
        <f t="shared" si="4"/>
        <v>2.09</v>
      </c>
      <c r="M315" s="4" t="s">
        <v>506</v>
      </c>
      <c r="N315" s="4">
        <f t="shared" si="5"/>
        <v>12.51</v>
      </c>
      <c r="O315" s="4">
        <v>0.0</v>
      </c>
      <c r="P315" s="4">
        <f t="shared" si="6"/>
        <v>0</v>
      </c>
      <c r="Q315" s="4">
        <v>3.0</v>
      </c>
      <c r="R315" s="4">
        <v>30.0</v>
      </c>
      <c r="S315" s="4">
        <v>475.0</v>
      </c>
      <c r="T315" s="4">
        <v>466.0</v>
      </c>
      <c r="U315" s="4">
        <v>2884.0</v>
      </c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4">
        <v>6.11766616E9</v>
      </c>
      <c r="B316" s="4">
        <v>42433.0</v>
      </c>
      <c r="C316" s="4">
        <v>0.0</v>
      </c>
      <c r="D316" s="4">
        <v>0.0</v>
      </c>
      <c r="E316" s="4">
        <f t="shared" si="1"/>
        <v>0</v>
      </c>
      <c r="F316" s="4">
        <v>0.0</v>
      </c>
      <c r="G316" s="4">
        <f t="shared" si="2"/>
        <v>0</v>
      </c>
      <c r="H316" s="4">
        <v>0.0</v>
      </c>
      <c r="I316" s="4">
        <v>0.0</v>
      </c>
      <c r="J316" s="4">
        <f t="shared" si="3"/>
        <v>0</v>
      </c>
      <c r="K316" s="4">
        <v>0.0</v>
      </c>
      <c r="L316" s="4">
        <f t="shared" si="4"/>
        <v>0</v>
      </c>
      <c r="M316" s="4">
        <v>0.0</v>
      </c>
      <c r="N316" s="4">
        <f t="shared" si="5"/>
        <v>0</v>
      </c>
      <c r="O316" s="4">
        <v>0.0</v>
      </c>
      <c r="P316" s="4">
        <f t="shared" si="6"/>
        <v>0</v>
      </c>
      <c r="Q316" s="4">
        <v>0.0</v>
      </c>
      <c r="R316" s="4">
        <v>0.0</v>
      </c>
      <c r="S316" s="4">
        <v>0.0</v>
      </c>
      <c r="T316" s="4">
        <v>1440.0</v>
      </c>
      <c r="U316" s="4">
        <v>1496.0</v>
      </c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4">
        <v>6.11766616E9</v>
      </c>
      <c r="B317" s="4">
        <v>42464.0</v>
      </c>
      <c r="C317" s="4">
        <v>8468.0</v>
      </c>
      <c r="D317" s="4" t="s">
        <v>507</v>
      </c>
      <c r="E317" s="4">
        <f t="shared" si="1"/>
        <v>6.39</v>
      </c>
      <c r="F317" s="4" t="s">
        <v>507</v>
      </c>
      <c r="G317" s="4">
        <f t="shared" si="2"/>
        <v>6.39</v>
      </c>
      <c r="H317" s="4">
        <v>0.0</v>
      </c>
      <c r="I317" s="4" t="s">
        <v>312</v>
      </c>
      <c r="J317" s="4">
        <f t="shared" si="3"/>
        <v>0.18</v>
      </c>
      <c r="K317" s="4" t="s">
        <v>508</v>
      </c>
      <c r="L317" s="4">
        <f t="shared" si="4"/>
        <v>0.64</v>
      </c>
      <c r="M317" s="4" t="s">
        <v>509</v>
      </c>
      <c r="N317" s="4">
        <f t="shared" si="5"/>
        <v>5.57</v>
      </c>
      <c r="O317" s="4">
        <v>0.0</v>
      </c>
      <c r="P317" s="4">
        <f t="shared" si="6"/>
        <v>0</v>
      </c>
      <c r="Q317" s="4">
        <v>2.0</v>
      </c>
      <c r="R317" s="4">
        <v>11.0</v>
      </c>
      <c r="S317" s="4">
        <v>279.0</v>
      </c>
      <c r="T317" s="4">
        <v>1148.0</v>
      </c>
      <c r="U317" s="4">
        <v>2262.0</v>
      </c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4">
        <v>6.11766616E9</v>
      </c>
      <c r="B318" s="4">
        <v>42494.0</v>
      </c>
      <c r="C318" s="4">
        <v>9910.0</v>
      </c>
      <c r="D318" s="4" t="s">
        <v>510</v>
      </c>
      <c r="E318" s="4">
        <f t="shared" si="1"/>
        <v>7.48</v>
      </c>
      <c r="F318" s="4" t="s">
        <v>510</v>
      </c>
      <c r="G318" s="4">
        <f t="shared" si="2"/>
        <v>7.48</v>
      </c>
      <c r="H318" s="4">
        <v>0.0</v>
      </c>
      <c r="I318" s="4">
        <v>0.0</v>
      </c>
      <c r="J318" s="4">
        <f t="shared" si="3"/>
        <v>0</v>
      </c>
      <c r="K318" s="4">
        <v>0.0</v>
      </c>
      <c r="L318" s="4">
        <f t="shared" si="4"/>
        <v>0</v>
      </c>
      <c r="M318" s="4" t="s">
        <v>510</v>
      </c>
      <c r="N318" s="4">
        <f t="shared" si="5"/>
        <v>7.48</v>
      </c>
      <c r="O318" s="4">
        <v>0.0</v>
      </c>
      <c r="P318" s="4">
        <f t="shared" si="6"/>
        <v>0</v>
      </c>
      <c r="Q318" s="4">
        <v>0.0</v>
      </c>
      <c r="R318" s="4">
        <v>0.0</v>
      </c>
      <c r="S318" s="4">
        <v>384.0</v>
      </c>
      <c r="T318" s="4">
        <v>990.0</v>
      </c>
      <c r="U318" s="4">
        <v>2445.0</v>
      </c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4">
        <v>6.11766616E9</v>
      </c>
      <c r="B319" s="4">
        <v>42525.0</v>
      </c>
      <c r="C319" s="4">
        <v>12409.0</v>
      </c>
      <c r="D319" s="4" t="s">
        <v>511</v>
      </c>
      <c r="E319" s="4">
        <f t="shared" si="1"/>
        <v>9.37</v>
      </c>
      <c r="F319" s="4" t="s">
        <v>511</v>
      </c>
      <c r="G319" s="4">
        <f t="shared" si="2"/>
        <v>9.37</v>
      </c>
      <c r="H319" s="4">
        <v>0.0</v>
      </c>
      <c r="I319" s="4">
        <v>0.0</v>
      </c>
      <c r="J319" s="4">
        <f t="shared" si="3"/>
        <v>0</v>
      </c>
      <c r="K319" s="4">
        <v>0.0</v>
      </c>
      <c r="L319" s="4">
        <f t="shared" si="4"/>
        <v>0</v>
      </c>
      <c r="M319" s="4" t="s">
        <v>511</v>
      </c>
      <c r="N319" s="4">
        <f t="shared" si="5"/>
        <v>9.37</v>
      </c>
      <c r="O319" s="4">
        <v>0.0</v>
      </c>
      <c r="P319" s="4">
        <f t="shared" si="6"/>
        <v>0</v>
      </c>
      <c r="Q319" s="4">
        <v>0.0</v>
      </c>
      <c r="R319" s="4">
        <v>0.0</v>
      </c>
      <c r="S319" s="4">
        <v>491.0</v>
      </c>
      <c r="T319" s="4">
        <v>388.0</v>
      </c>
      <c r="U319" s="4">
        <v>2694.0</v>
      </c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4">
        <v>6.11766616E9</v>
      </c>
      <c r="B320" s="4">
        <v>42555.0</v>
      </c>
      <c r="C320" s="4">
        <v>4853.0</v>
      </c>
      <c r="D320" s="4" t="s">
        <v>512</v>
      </c>
      <c r="E320" s="4">
        <f t="shared" si="1"/>
        <v>3.66</v>
      </c>
      <c r="F320" s="4" t="s">
        <v>512</v>
      </c>
      <c r="G320" s="4">
        <f t="shared" si="2"/>
        <v>3.66</v>
      </c>
      <c r="H320" s="4">
        <v>0.0</v>
      </c>
      <c r="I320" s="4">
        <v>0.0</v>
      </c>
      <c r="J320" s="4">
        <f t="shared" si="3"/>
        <v>0</v>
      </c>
      <c r="K320" s="4">
        <v>0.0</v>
      </c>
      <c r="L320" s="4">
        <f t="shared" si="4"/>
        <v>0</v>
      </c>
      <c r="M320" s="4" t="s">
        <v>512</v>
      </c>
      <c r="N320" s="4">
        <f t="shared" si="5"/>
        <v>3.66</v>
      </c>
      <c r="O320" s="4">
        <v>0.0</v>
      </c>
      <c r="P320" s="4">
        <f t="shared" si="6"/>
        <v>0</v>
      </c>
      <c r="Q320" s="4">
        <v>0.0</v>
      </c>
      <c r="R320" s="4">
        <v>0.0</v>
      </c>
      <c r="S320" s="4">
        <v>156.0</v>
      </c>
      <c r="T320" s="4">
        <v>770.0</v>
      </c>
      <c r="U320" s="4">
        <v>1903.0</v>
      </c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4">
        <v>6.11766616E9</v>
      </c>
      <c r="B321" s="4">
        <v>42586.0</v>
      </c>
      <c r="C321" s="4">
        <v>8955.0</v>
      </c>
      <c r="D321" s="4" t="s">
        <v>421</v>
      </c>
      <c r="E321" s="4">
        <f t="shared" si="1"/>
        <v>6.76</v>
      </c>
      <c r="F321" s="4" t="s">
        <v>421</v>
      </c>
      <c r="G321" s="4">
        <f t="shared" si="2"/>
        <v>6.76</v>
      </c>
      <c r="H321" s="4">
        <v>0.0</v>
      </c>
      <c r="I321" s="4">
        <v>0.0</v>
      </c>
      <c r="J321" s="4">
        <f t="shared" si="3"/>
        <v>0</v>
      </c>
      <c r="K321" s="4">
        <v>0.0</v>
      </c>
      <c r="L321" s="4">
        <f t="shared" si="4"/>
        <v>0</v>
      </c>
      <c r="M321" s="4" t="s">
        <v>513</v>
      </c>
      <c r="N321" s="4">
        <f t="shared" si="5"/>
        <v>6.73</v>
      </c>
      <c r="O321" s="4">
        <v>0.0</v>
      </c>
      <c r="P321" s="4">
        <f t="shared" si="6"/>
        <v>0</v>
      </c>
      <c r="Q321" s="4">
        <v>0.0</v>
      </c>
      <c r="R321" s="4">
        <v>0.0</v>
      </c>
      <c r="S321" s="4">
        <v>422.0</v>
      </c>
      <c r="T321" s="4">
        <v>1018.0</v>
      </c>
      <c r="U321" s="4">
        <v>2482.0</v>
      </c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4">
        <v>6.11766616E9</v>
      </c>
      <c r="B322" s="4">
        <v>42617.0</v>
      </c>
      <c r="C322" s="4">
        <v>10789.0</v>
      </c>
      <c r="D322" s="4" t="s">
        <v>514</v>
      </c>
      <c r="E322" s="4">
        <f t="shared" si="1"/>
        <v>8.15</v>
      </c>
      <c r="F322" s="4" t="s">
        <v>514</v>
      </c>
      <c r="G322" s="4">
        <f t="shared" si="2"/>
        <v>8.15</v>
      </c>
      <c r="H322" s="4">
        <v>0.0</v>
      </c>
      <c r="I322" s="4">
        <v>0.0</v>
      </c>
      <c r="J322" s="4">
        <f t="shared" si="3"/>
        <v>0</v>
      </c>
      <c r="K322" s="4">
        <v>0.0</v>
      </c>
      <c r="L322" s="4">
        <f t="shared" si="4"/>
        <v>0</v>
      </c>
      <c r="M322" s="4" t="s">
        <v>514</v>
      </c>
      <c r="N322" s="4">
        <f t="shared" si="5"/>
        <v>8.15</v>
      </c>
      <c r="O322" s="4">
        <v>0.0</v>
      </c>
      <c r="P322" s="4">
        <f t="shared" si="6"/>
        <v>0</v>
      </c>
      <c r="Q322" s="4">
        <v>0.0</v>
      </c>
      <c r="R322" s="4">
        <v>0.0</v>
      </c>
      <c r="S322" s="4">
        <v>506.0</v>
      </c>
      <c r="T322" s="4">
        <v>413.0</v>
      </c>
      <c r="U322" s="4">
        <v>2617.0</v>
      </c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4">
        <v>6.11766616E9</v>
      </c>
      <c r="B323" s="4">
        <v>42647.0</v>
      </c>
      <c r="C323" s="4">
        <v>0.0</v>
      </c>
      <c r="D323" s="4">
        <v>0.0</v>
      </c>
      <c r="E323" s="4">
        <f t="shared" si="1"/>
        <v>0</v>
      </c>
      <c r="F323" s="4">
        <v>0.0</v>
      </c>
      <c r="G323" s="4">
        <f t="shared" si="2"/>
        <v>0</v>
      </c>
      <c r="H323" s="4">
        <v>0.0</v>
      </c>
      <c r="I323" s="4">
        <v>0.0</v>
      </c>
      <c r="J323" s="4">
        <f t="shared" si="3"/>
        <v>0</v>
      </c>
      <c r="K323" s="4">
        <v>0.0</v>
      </c>
      <c r="L323" s="4">
        <f t="shared" si="4"/>
        <v>0</v>
      </c>
      <c r="M323" s="4">
        <v>0.0</v>
      </c>
      <c r="N323" s="4">
        <f t="shared" si="5"/>
        <v>0</v>
      </c>
      <c r="O323" s="4">
        <v>0.0</v>
      </c>
      <c r="P323" s="4">
        <f t="shared" si="6"/>
        <v>0</v>
      </c>
      <c r="Q323" s="4">
        <v>0.0</v>
      </c>
      <c r="R323" s="4">
        <v>0.0</v>
      </c>
      <c r="S323" s="4">
        <v>0.0</v>
      </c>
      <c r="T323" s="4">
        <v>1440.0</v>
      </c>
      <c r="U323" s="4">
        <v>0.0</v>
      </c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4">
        <v>6.290855005E9</v>
      </c>
      <c r="B324" s="4">
        <v>42373.0</v>
      </c>
      <c r="C324" s="4">
        <v>6633.0</v>
      </c>
      <c r="D324" s="4" t="s">
        <v>390</v>
      </c>
      <c r="E324" s="4">
        <f t="shared" si="1"/>
        <v>5.01</v>
      </c>
      <c r="F324" s="4" t="s">
        <v>390</v>
      </c>
      <c r="G324" s="4">
        <f t="shared" si="2"/>
        <v>5.01</v>
      </c>
      <c r="H324" s="4">
        <v>0.0</v>
      </c>
      <c r="I324" s="4">
        <v>0.0</v>
      </c>
      <c r="J324" s="4">
        <f t="shared" si="3"/>
        <v>0</v>
      </c>
      <c r="K324" s="4">
        <v>0.0</v>
      </c>
      <c r="L324" s="4">
        <f t="shared" si="4"/>
        <v>0</v>
      </c>
      <c r="M324" s="4" t="s">
        <v>390</v>
      </c>
      <c r="N324" s="4">
        <f t="shared" si="5"/>
        <v>5.01</v>
      </c>
      <c r="O324" s="4">
        <v>0.0</v>
      </c>
      <c r="P324" s="4">
        <f t="shared" si="6"/>
        <v>0</v>
      </c>
      <c r="Q324" s="4">
        <v>0.0</v>
      </c>
      <c r="R324" s="4">
        <v>0.0</v>
      </c>
      <c r="S324" s="4">
        <v>280.0</v>
      </c>
      <c r="T324" s="4">
        <v>1160.0</v>
      </c>
      <c r="U324" s="4">
        <v>2778.0</v>
      </c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4">
        <v>6.290855005E9</v>
      </c>
      <c r="B325" s="4">
        <v>42404.0</v>
      </c>
      <c r="C325" s="4">
        <v>9548.0</v>
      </c>
      <c r="D325" s="4" t="s">
        <v>515</v>
      </c>
      <c r="E325" s="4">
        <f t="shared" si="1"/>
        <v>7.22</v>
      </c>
      <c r="F325" s="4" t="s">
        <v>515</v>
      </c>
      <c r="G325" s="4">
        <f t="shared" si="2"/>
        <v>7.22</v>
      </c>
      <c r="H325" s="4">
        <v>0.0</v>
      </c>
      <c r="I325" s="4" t="s">
        <v>436</v>
      </c>
      <c r="J325" s="4">
        <f t="shared" si="3"/>
        <v>2.02</v>
      </c>
      <c r="K325" s="4" t="s">
        <v>251</v>
      </c>
      <c r="L325" s="4">
        <f t="shared" si="4"/>
        <v>3.68</v>
      </c>
      <c r="M325" s="4" t="s">
        <v>143</v>
      </c>
      <c r="N325" s="4">
        <f t="shared" si="5"/>
        <v>1.52</v>
      </c>
      <c r="O325" s="4">
        <v>0.0</v>
      </c>
      <c r="P325" s="4">
        <f t="shared" si="6"/>
        <v>0</v>
      </c>
      <c r="Q325" s="4">
        <v>25.0</v>
      </c>
      <c r="R325" s="4">
        <v>107.0</v>
      </c>
      <c r="S325" s="4">
        <v>113.0</v>
      </c>
      <c r="T325" s="4">
        <v>1195.0</v>
      </c>
      <c r="U325" s="4">
        <v>3119.0</v>
      </c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4">
        <v>6.290855005E9</v>
      </c>
      <c r="B326" s="4">
        <v>42433.0</v>
      </c>
      <c r="C326" s="4">
        <v>0.0</v>
      </c>
      <c r="D326" s="4">
        <v>0.0</v>
      </c>
      <c r="E326" s="4">
        <f t="shared" si="1"/>
        <v>0</v>
      </c>
      <c r="F326" s="4">
        <v>0.0</v>
      </c>
      <c r="G326" s="4">
        <f t="shared" si="2"/>
        <v>0</v>
      </c>
      <c r="H326" s="4">
        <v>0.0</v>
      </c>
      <c r="I326" s="4">
        <v>0.0</v>
      </c>
      <c r="J326" s="4">
        <f t="shared" si="3"/>
        <v>0</v>
      </c>
      <c r="K326" s="4">
        <v>0.0</v>
      </c>
      <c r="L326" s="4">
        <f t="shared" si="4"/>
        <v>0</v>
      </c>
      <c r="M326" s="4">
        <v>0.0</v>
      </c>
      <c r="N326" s="4">
        <f t="shared" si="5"/>
        <v>0</v>
      </c>
      <c r="O326" s="4">
        <v>0.0</v>
      </c>
      <c r="P326" s="4">
        <f t="shared" si="6"/>
        <v>0</v>
      </c>
      <c r="Q326" s="4">
        <v>33.0</v>
      </c>
      <c r="R326" s="4">
        <v>0.0</v>
      </c>
      <c r="S326" s="4">
        <v>0.0</v>
      </c>
      <c r="T326" s="4">
        <v>1407.0</v>
      </c>
      <c r="U326" s="4">
        <v>2664.0</v>
      </c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4">
        <v>6.290855005E9</v>
      </c>
      <c r="B327" s="4">
        <v>42464.0</v>
      </c>
      <c r="C327" s="4">
        <v>0.0</v>
      </c>
      <c r="D327" s="4">
        <v>0.0</v>
      </c>
      <c r="E327" s="4">
        <f t="shared" si="1"/>
        <v>0</v>
      </c>
      <c r="F327" s="4">
        <v>0.0</v>
      </c>
      <c r="G327" s="4">
        <f t="shared" si="2"/>
        <v>0</v>
      </c>
      <c r="H327" s="4">
        <v>0.0</v>
      </c>
      <c r="I327" s="4">
        <v>0.0</v>
      </c>
      <c r="J327" s="4">
        <f t="shared" si="3"/>
        <v>0</v>
      </c>
      <c r="K327" s="4">
        <v>0.0</v>
      </c>
      <c r="L327" s="4">
        <f t="shared" si="4"/>
        <v>0</v>
      </c>
      <c r="M327" s="4">
        <v>0.0</v>
      </c>
      <c r="N327" s="4">
        <f t="shared" si="5"/>
        <v>0</v>
      </c>
      <c r="O327" s="4">
        <v>0.0</v>
      </c>
      <c r="P327" s="4">
        <f t="shared" si="6"/>
        <v>0</v>
      </c>
      <c r="Q327" s="4">
        <v>0.0</v>
      </c>
      <c r="R327" s="4">
        <v>0.0</v>
      </c>
      <c r="S327" s="4">
        <v>0.0</v>
      </c>
      <c r="T327" s="4">
        <v>1440.0</v>
      </c>
      <c r="U327" s="4">
        <v>2060.0</v>
      </c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4">
        <v>6.290855005E9</v>
      </c>
      <c r="B328" s="4">
        <v>42494.0</v>
      </c>
      <c r="C328" s="4">
        <v>0.0</v>
      </c>
      <c r="D328" s="4">
        <v>0.0</v>
      </c>
      <c r="E328" s="4">
        <f t="shared" si="1"/>
        <v>0</v>
      </c>
      <c r="F328" s="4">
        <v>0.0</v>
      </c>
      <c r="G328" s="4">
        <f t="shared" si="2"/>
        <v>0</v>
      </c>
      <c r="H328" s="4">
        <v>0.0</v>
      </c>
      <c r="I328" s="4">
        <v>0.0</v>
      </c>
      <c r="J328" s="4">
        <f t="shared" si="3"/>
        <v>0</v>
      </c>
      <c r="K328" s="4">
        <v>0.0</v>
      </c>
      <c r="L328" s="4">
        <f t="shared" si="4"/>
        <v>0</v>
      </c>
      <c r="M328" s="4">
        <v>0.0</v>
      </c>
      <c r="N328" s="4">
        <f t="shared" si="5"/>
        <v>0</v>
      </c>
      <c r="O328" s="4">
        <v>0.0</v>
      </c>
      <c r="P328" s="4">
        <f t="shared" si="6"/>
        <v>0</v>
      </c>
      <c r="Q328" s="4">
        <v>0.0</v>
      </c>
      <c r="R328" s="4">
        <v>0.0</v>
      </c>
      <c r="S328" s="4">
        <v>0.0</v>
      </c>
      <c r="T328" s="4">
        <v>1440.0</v>
      </c>
      <c r="U328" s="4">
        <v>2060.0</v>
      </c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4">
        <v>6.290855005E9</v>
      </c>
      <c r="B329" s="4">
        <v>42525.0</v>
      </c>
      <c r="C329" s="4">
        <v>0.0</v>
      </c>
      <c r="D329" s="4">
        <v>0.0</v>
      </c>
      <c r="E329" s="4">
        <f t="shared" si="1"/>
        <v>0</v>
      </c>
      <c r="F329" s="4">
        <v>0.0</v>
      </c>
      <c r="G329" s="4">
        <f t="shared" si="2"/>
        <v>0</v>
      </c>
      <c r="H329" s="4">
        <v>0.0</v>
      </c>
      <c r="I329" s="4">
        <v>0.0</v>
      </c>
      <c r="J329" s="4">
        <f t="shared" si="3"/>
        <v>0</v>
      </c>
      <c r="K329" s="4">
        <v>0.0</v>
      </c>
      <c r="L329" s="4">
        <f t="shared" si="4"/>
        <v>0</v>
      </c>
      <c r="M329" s="4">
        <v>0.0</v>
      </c>
      <c r="N329" s="4">
        <f t="shared" si="5"/>
        <v>0</v>
      </c>
      <c r="O329" s="4">
        <v>0.0</v>
      </c>
      <c r="P329" s="4">
        <f t="shared" si="6"/>
        <v>0</v>
      </c>
      <c r="Q329" s="4">
        <v>0.0</v>
      </c>
      <c r="R329" s="4">
        <v>0.0</v>
      </c>
      <c r="S329" s="4">
        <v>0.0</v>
      </c>
      <c r="T329" s="4">
        <v>1440.0</v>
      </c>
      <c r="U329" s="4">
        <v>2060.0</v>
      </c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4">
        <v>6.290855005E9</v>
      </c>
      <c r="B330" s="4">
        <v>42555.0</v>
      </c>
      <c r="C330" s="4">
        <v>0.0</v>
      </c>
      <c r="D330" s="4">
        <v>0.0</v>
      </c>
      <c r="E330" s="4">
        <f t="shared" si="1"/>
        <v>0</v>
      </c>
      <c r="F330" s="4">
        <v>0.0</v>
      </c>
      <c r="G330" s="4">
        <f t="shared" si="2"/>
        <v>0</v>
      </c>
      <c r="H330" s="4">
        <v>0.0</v>
      </c>
      <c r="I330" s="4">
        <v>0.0</v>
      </c>
      <c r="J330" s="4">
        <f t="shared" si="3"/>
        <v>0</v>
      </c>
      <c r="K330" s="4">
        <v>0.0</v>
      </c>
      <c r="L330" s="4">
        <f t="shared" si="4"/>
        <v>0</v>
      </c>
      <c r="M330" s="4">
        <v>0.0</v>
      </c>
      <c r="N330" s="4">
        <f t="shared" si="5"/>
        <v>0</v>
      </c>
      <c r="O330" s="4">
        <v>0.0</v>
      </c>
      <c r="P330" s="4">
        <f t="shared" si="6"/>
        <v>0</v>
      </c>
      <c r="Q330" s="4">
        <v>0.0</v>
      </c>
      <c r="R330" s="4">
        <v>0.0</v>
      </c>
      <c r="S330" s="4">
        <v>0.0</v>
      </c>
      <c r="T330" s="4">
        <v>1440.0</v>
      </c>
      <c r="U330" s="4">
        <v>2060.0</v>
      </c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4">
        <v>6.290855005E9</v>
      </c>
      <c r="B331" s="4">
        <v>42586.0</v>
      </c>
      <c r="C331" s="4">
        <v>0.0</v>
      </c>
      <c r="D331" s="4">
        <v>0.0</v>
      </c>
      <c r="E331" s="4">
        <f t="shared" si="1"/>
        <v>0</v>
      </c>
      <c r="F331" s="4">
        <v>0.0</v>
      </c>
      <c r="G331" s="4">
        <f t="shared" si="2"/>
        <v>0</v>
      </c>
      <c r="H331" s="4">
        <v>0.0</v>
      </c>
      <c r="I331" s="4">
        <v>0.0</v>
      </c>
      <c r="J331" s="4">
        <f t="shared" si="3"/>
        <v>0</v>
      </c>
      <c r="K331" s="4">
        <v>0.0</v>
      </c>
      <c r="L331" s="4">
        <f t="shared" si="4"/>
        <v>0</v>
      </c>
      <c r="M331" s="4">
        <v>0.0</v>
      </c>
      <c r="N331" s="4">
        <f t="shared" si="5"/>
        <v>0</v>
      </c>
      <c r="O331" s="4">
        <v>0.0</v>
      </c>
      <c r="P331" s="4">
        <f t="shared" si="6"/>
        <v>0</v>
      </c>
      <c r="Q331" s="4">
        <v>0.0</v>
      </c>
      <c r="R331" s="4">
        <v>0.0</v>
      </c>
      <c r="S331" s="4">
        <v>0.0</v>
      </c>
      <c r="T331" s="4">
        <v>1440.0</v>
      </c>
      <c r="U331" s="4">
        <v>2060.0</v>
      </c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4">
        <v>6.290855005E9</v>
      </c>
      <c r="B332" s="4">
        <v>42617.0</v>
      </c>
      <c r="C332" s="4">
        <v>0.0</v>
      </c>
      <c r="D332" s="4">
        <v>0.0</v>
      </c>
      <c r="E332" s="4">
        <f t="shared" si="1"/>
        <v>0</v>
      </c>
      <c r="F332" s="4">
        <v>0.0</v>
      </c>
      <c r="G332" s="4">
        <f t="shared" si="2"/>
        <v>0</v>
      </c>
      <c r="H332" s="4">
        <v>0.0</v>
      </c>
      <c r="I332" s="4">
        <v>0.0</v>
      </c>
      <c r="J332" s="4">
        <f t="shared" si="3"/>
        <v>0</v>
      </c>
      <c r="K332" s="4">
        <v>0.0</v>
      </c>
      <c r="L332" s="4">
        <f t="shared" si="4"/>
        <v>0</v>
      </c>
      <c r="M332" s="4">
        <v>0.0</v>
      </c>
      <c r="N332" s="4">
        <f t="shared" si="5"/>
        <v>0</v>
      </c>
      <c r="O332" s="4">
        <v>0.0</v>
      </c>
      <c r="P332" s="4">
        <f t="shared" si="6"/>
        <v>0</v>
      </c>
      <c r="Q332" s="4">
        <v>0.0</v>
      </c>
      <c r="R332" s="4">
        <v>0.0</v>
      </c>
      <c r="S332" s="4">
        <v>0.0</v>
      </c>
      <c r="T332" s="4">
        <v>1440.0</v>
      </c>
      <c r="U332" s="4">
        <v>2060.0</v>
      </c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4">
        <v>6.290855005E9</v>
      </c>
      <c r="B333" s="4">
        <v>42647.0</v>
      </c>
      <c r="C333" s="4">
        <v>0.0</v>
      </c>
      <c r="D333" s="4">
        <v>0.0</v>
      </c>
      <c r="E333" s="4">
        <f t="shared" si="1"/>
        <v>0</v>
      </c>
      <c r="F333" s="4">
        <v>0.0</v>
      </c>
      <c r="G333" s="4">
        <f t="shared" si="2"/>
        <v>0</v>
      </c>
      <c r="H333" s="4">
        <v>0.0</v>
      </c>
      <c r="I333" s="4">
        <v>0.0</v>
      </c>
      <c r="J333" s="4">
        <f t="shared" si="3"/>
        <v>0</v>
      </c>
      <c r="K333" s="4">
        <v>0.0</v>
      </c>
      <c r="L333" s="4">
        <f t="shared" si="4"/>
        <v>0</v>
      </c>
      <c r="M333" s="4">
        <v>0.0</v>
      </c>
      <c r="N333" s="4">
        <f t="shared" si="5"/>
        <v>0</v>
      </c>
      <c r="O333" s="4">
        <v>0.0</v>
      </c>
      <c r="P333" s="4">
        <f t="shared" si="6"/>
        <v>0</v>
      </c>
      <c r="Q333" s="4">
        <v>20.0</v>
      </c>
      <c r="R333" s="4">
        <v>0.0</v>
      </c>
      <c r="S333" s="4">
        <v>0.0</v>
      </c>
      <c r="T333" s="4">
        <v>494.0</v>
      </c>
      <c r="U333" s="4">
        <v>735.0</v>
      </c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4">
        <v>6.391747486E9</v>
      </c>
      <c r="B334" s="4">
        <v>42373.0</v>
      </c>
      <c r="C334" s="4">
        <v>0.0</v>
      </c>
      <c r="D334" s="4">
        <v>0.0</v>
      </c>
      <c r="E334" s="4">
        <f t="shared" si="1"/>
        <v>0</v>
      </c>
      <c r="F334" s="4">
        <v>0.0</v>
      </c>
      <c r="G334" s="4">
        <f t="shared" si="2"/>
        <v>0</v>
      </c>
      <c r="H334" s="4">
        <v>0.0</v>
      </c>
      <c r="I334" s="4">
        <v>0.0</v>
      </c>
      <c r="J334" s="4">
        <f t="shared" si="3"/>
        <v>0</v>
      </c>
      <c r="K334" s="4">
        <v>0.0</v>
      </c>
      <c r="L334" s="4">
        <f t="shared" si="4"/>
        <v>0</v>
      </c>
      <c r="M334" s="4">
        <v>0.0</v>
      </c>
      <c r="N334" s="4">
        <f t="shared" si="5"/>
        <v>0</v>
      </c>
      <c r="O334" s="4">
        <v>0.0</v>
      </c>
      <c r="P334" s="4">
        <f t="shared" si="6"/>
        <v>0</v>
      </c>
      <c r="Q334" s="4">
        <v>0.0</v>
      </c>
      <c r="R334" s="4">
        <v>0.0</v>
      </c>
      <c r="S334" s="4">
        <v>0.0</v>
      </c>
      <c r="T334" s="4">
        <v>1440.0</v>
      </c>
      <c r="U334" s="4">
        <v>1820.0</v>
      </c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4">
        <v>6.391747486E9</v>
      </c>
      <c r="B335" s="4">
        <v>42404.0</v>
      </c>
      <c r="C335" s="4">
        <v>2101.0</v>
      </c>
      <c r="D335" s="4" t="s">
        <v>221</v>
      </c>
      <c r="E335" s="4">
        <f t="shared" si="1"/>
        <v>2.03</v>
      </c>
      <c r="F335" s="4">
        <v>0.0</v>
      </c>
      <c r="G335" s="4">
        <f t="shared" si="2"/>
        <v>0</v>
      </c>
      <c r="H335" s="4" t="s">
        <v>516</v>
      </c>
      <c r="I335" s="4" t="s">
        <v>221</v>
      </c>
      <c r="J335" s="4">
        <f t="shared" si="3"/>
        <v>2.03</v>
      </c>
      <c r="K335" s="4">
        <v>0.0</v>
      </c>
      <c r="L335" s="4">
        <f t="shared" si="4"/>
        <v>0</v>
      </c>
      <c r="M335" s="4">
        <v>0.0</v>
      </c>
      <c r="N335" s="4">
        <f t="shared" si="5"/>
        <v>0</v>
      </c>
      <c r="O335" s="4">
        <v>0.0</v>
      </c>
      <c r="P335" s="4">
        <f t="shared" si="6"/>
        <v>0</v>
      </c>
      <c r="Q335" s="4">
        <v>46.0</v>
      </c>
      <c r="R335" s="4">
        <v>0.0</v>
      </c>
      <c r="S335" s="4">
        <v>0.0</v>
      </c>
      <c r="T335" s="4">
        <v>1394.0</v>
      </c>
      <c r="U335" s="4">
        <v>2224.0</v>
      </c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4">
        <v>6.391747486E9</v>
      </c>
      <c r="B336" s="4">
        <v>42433.0</v>
      </c>
      <c r="C336" s="4">
        <v>0.0</v>
      </c>
      <c r="D336" s="4">
        <v>0.0</v>
      </c>
      <c r="E336" s="4">
        <f t="shared" si="1"/>
        <v>0</v>
      </c>
      <c r="F336" s="4">
        <v>0.0</v>
      </c>
      <c r="G336" s="4">
        <f t="shared" si="2"/>
        <v>0</v>
      </c>
      <c r="H336" s="4">
        <v>0.0</v>
      </c>
      <c r="I336" s="4">
        <v>0.0</v>
      </c>
      <c r="J336" s="4">
        <f t="shared" si="3"/>
        <v>0</v>
      </c>
      <c r="K336" s="4">
        <v>0.0</v>
      </c>
      <c r="L336" s="4">
        <f t="shared" si="4"/>
        <v>0</v>
      </c>
      <c r="M336" s="4">
        <v>0.0</v>
      </c>
      <c r="N336" s="4">
        <f t="shared" si="5"/>
        <v>0</v>
      </c>
      <c r="O336" s="4">
        <v>0.0</v>
      </c>
      <c r="P336" s="4">
        <f t="shared" si="6"/>
        <v>0</v>
      </c>
      <c r="Q336" s="4">
        <v>0.0</v>
      </c>
      <c r="R336" s="4">
        <v>0.0</v>
      </c>
      <c r="S336" s="4">
        <v>0.0</v>
      </c>
      <c r="T336" s="4">
        <v>1440.0</v>
      </c>
      <c r="U336" s="4">
        <v>1820.0</v>
      </c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4">
        <v>6.391747486E9</v>
      </c>
      <c r="B337" s="4">
        <v>42464.0</v>
      </c>
      <c r="C337" s="4">
        <v>0.0</v>
      </c>
      <c r="D337" s="4">
        <v>0.0</v>
      </c>
      <c r="E337" s="4">
        <f t="shared" si="1"/>
        <v>0</v>
      </c>
      <c r="F337" s="4">
        <v>0.0</v>
      </c>
      <c r="G337" s="4">
        <f t="shared" si="2"/>
        <v>0</v>
      </c>
      <c r="H337" s="4">
        <v>0.0</v>
      </c>
      <c r="I337" s="4">
        <v>0.0</v>
      </c>
      <c r="J337" s="4">
        <f t="shared" si="3"/>
        <v>0</v>
      </c>
      <c r="K337" s="4">
        <v>0.0</v>
      </c>
      <c r="L337" s="4">
        <f t="shared" si="4"/>
        <v>0</v>
      </c>
      <c r="M337" s="4">
        <v>0.0</v>
      </c>
      <c r="N337" s="4">
        <f t="shared" si="5"/>
        <v>0</v>
      </c>
      <c r="O337" s="4">
        <v>0.0</v>
      </c>
      <c r="P337" s="4">
        <f t="shared" si="6"/>
        <v>0</v>
      </c>
      <c r="Q337" s="4">
        <v>0.0</v>
      </c>
      <c r="R337" s="4">
        <v>0.0</v>
      </c>
      <c r="S337" s="4">
        <v>0.0</v>
      </c>
      <c r="T337" s="4">
        <v>1440.0</v>
      </c>
      <c r="U337" s="4">
        <v>1820.0</v>
      </c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4">
        <v>6.391747486E9</v>
      </c>
      <c r="B338" s="4">
        <v>42494.0</v>
      </c>
      <c r="C338" s="4">
        <v>9766.0</v>
      </c>
      <c r="D338" s="4" t="s">
        <v>388</v>
      </c>
      <c r="E338" s="4">
        <f t="shared" si="1"/>
        <v>7.51</v>
      </c>
      <c r="F338" s="4" t="s">
        <v>128</v>
      </c>
      <c r="G338" s="4">
        <f t="shared" si="2"/>
        <v>0.78</v>
      </c>
      <c r="H338" s="4" t="s">
        <v>517</v>
      </c>
      <c r="I338" s="4">
        <v>0.0</v>
      </c>
      <c r="J338" s="4">
        <f t="shared" si="3"/>
        <v>0</v>
      </c>
      <c r="K338" s="4" t="s">
        <v>370</v>
      </c>
      <c r="L338" s="4">
        <f t="shared" si="4"/>
        <v>0.05</v>
      </c>
      <c r="M338" s="4" t="s">
        <v>518</v>
      </c>
      <c r="N338" s="4">
        <f t="shared" si="5"/>
        <v>7.46</v>
      </c>
      <c r="O338" s="4">
        <v>0.0</v>
      </c>
      <c r="P338" s="4">
        <f t="shared" si="6"/>
        <v>0</v>
      </c>
      <c r="Q338" s="4">
        <v>0.0</v>
      </c>
      <c r="R338" s="4">
        <v>6.0</v>
      </c>
      <c r="S338" s="4">
        <v>301.0</v>
      </c>
      <c r="T338" s="4">
        <v>1133.0</v>
      </c>
      <c r="U338" s="4">
        <v>2442.0</v>
      </c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4">
        <v>6.391747486E9</v>
      </c>
      <c r="B339" s="4">
        <v>42525.0</v>
      </c>
      <c r="C339" s="4">
        <v>165.0</v>
      </c>
      <c r="D339" s="4" t="s">
        <v>99</v>
      </c>
      <c r="E339" s="4">
        <f t="shared" si="1"/>
        <v>0.13</v>
      </c>
      <c r="F339" s="4" t="s">
        <v>99</v>
      </c>
      <c r="G339" s="4">
        <f t="shared" si="2"/>
        <v>0.13</v>
      </c>
      <c r="H339" s="4">
        <v>0.0</v>
      </c>
      <c r="I339" s="4">
        <v>0.0</v>
      </c>
      <c r="J339" s="4">
        <f t="shared" si="3"/>
        <v>0</v>
      </c>
      <c r="K339" s="4">
        <v>0.0</v>
      </c>
      <c r="L339" s="4">
        <f t="shared" si="4"/>
        <v>0</v>
      </c>
      <c r="M339" s="4" t="s">
        <v>99</v>
      </c>
      <c r="N339" s="4">
        <f t="shared" si="5"/>
        <v>0.13</v>
      </c>
      <c r="O339" s="4">
        <v>0.0</v>
      </c>
      <c r="P339" s="4">
        <f t="shared" si="6"/>
        <v>0</v>
      </c>
      <c r="Q339" s="4">
        <v>0.0</v>
      </c>
      <c r="R339" s="4">
        <v>0.0</v>
      </c>
      <c r="S339" s="4">
        <v>8.0</v>
      </c>
      <c r="T339" s="4">
        <v>1432.0</v>
      </c>
      <c r="U339" s="4">
        <v>1849.0</v>
      </c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4">
        <v>6.391747486E9</v>
      </c>
      <c r="B340" s="4">
        <v>42555.0</v>
      </c>
      <c r="C340" s="4">
        <v>0.0</v>
      </c>
      <c r="D340" s="4">
        <v>0.0</v>
      </c>
      <c r="E340" s="4">
        <f t="shared" si="1"/>
        <v>0</v>
      </c>
      <c r="F340" s="4">
        <v>0.0</v>
      </c>
      <c r="G340" s="4">
        <f t="shared" si="2"/>
        <v>0</v>
      </c>
      <c r="H340" s="4">
        <v>0.0</v>
      </c>
      <c r="I340" s="4">
        <v>0.0</v>
      </c>
      <c r="J340" s="4">
        <f t="shared" si="3"/>
        <v>0</v>
      </c>
      <c r="K340" s="4">
        <v>0.0</v>
      </c>
      <c r="L340" s="4">
        <f t="shared" si="4"/>
        <v>0</v>
      </c>
      <c r="M340" s="4">
        <v>0.0</v>
      </c>
      <c r="N340" s="4">
        <f t="shared" si="5"/>
        <v>0</v>
      </c>
      <c r="O340" s="4">
        <v>0.0</v>
      </c>
      <c r="P340" s="4">
        <f t="shared" si="6"/>
        <v>0</v>
      </c>
      <c r="Q340" s="4">
        <v>0.0</v>
      </c>
      <c r="R340" s="4">
        <v>0.0</v>
      </c>
      <c r="S340" s="4">
        <v>0.0</v>
      </c>
      <c r="T340" s="4">
        <v>1440.0</v>
      </c>
      <c r="U340" s="4">
        <v>1822.0</v>
      </c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4">
        <v>6.391747486E9</v>
      </c>
      <c r="B341" s="4">
        <v>42586.0</v>
      </c>
      <c r="C341" s="4">
        <v>0.0</v>
      </c>
      <c r="D341" s="4">
        <v>0.0</v>
      </c>
      <c r="E341" s="4">
        <f t="shared" si="1"/>
        <v>0</v>
      </c>
      <c r="F341" s="4">
        <v>0.0</v>
      </c>
      <c r="G341" s="4">
        <f t="shared" si="2"/>
        <v>0</v>
      </c>
      <c r="H341" s="4">
        <v>0.0</v>
      </c>
      <c r="I341" s="4">
        <v>0.0</v>
      </c>
      <c r="J341" s="4">
        <f t="shared" si="3"/>
        <v>0</v>
      </c>
      <c r="K341" s="4">
        <v>0.0</v>
      </c>
      <c r="L341" s="4">
        <f t="shared" si="4"/>
        <v>0</v>
      </c>
      <c r="M341" s="4">
        <v>0.0</v>
      </c>
      <c r="N341" s="4">
        <f t="shared" si="5"/>
        <v>0</v>
      </c>
      <c r="O341" s="4">
        <v>0.0</v>
      </c>
      <c r="P341" s="4">
        <f t="shared" si="6"/>
        <v>0</v>
      </c>
      <c r="Q341" s="4">
        <v>0.0</v>
      </c>
      <c r="R341" s="4">
        <v>0.0</v>
      </c>
      <c r="S341" s="4">
        <v>0.0</v>
      </c>
      <c r="T341" s="4">
        <v>1440.0</v>
      </c>
      <c r="U341" s="4">
        <v>1820.0</v>
      </c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4">
        <v>6.391747486E9</v>
      </c>
      <c r="B342" s="4">
        <v>42617.0</v>
      </c>
      <c r="C342" s="4">
        <v>0.0</v>
      </c>
      <c r="D342" s="4">
        <v>0.0</v>
      </c>
      <c r="E342" s="4">
        <f t="shared" si="1"/>
        <v>0</v>
      </c>
      <c r="F342" s="4">
        <v>0.0</v>
      </c>
      <c r="G342" s="4">
        <f t="shared" si="2"/>
        <v>0</v>
      </c>
      <c r="H342" s="4">
        <v>0.0</v>
      </c>
      <c r="I342" s="4">
        <v>0.0</v>
      </c>
      <c r="J342" s="4">
        <f t="shared" si="3"/>
        <v>0</v>
      </c>
      <c r="K342" s="4">
        <v>0.0</v>
      </c>
      <c r="L342" s="4">
        <f t="shared" si="4"/>
        <v>0</v>
      </c>
      <c r="M342" s="4">
        <v>0.0</v>
      </c>
      <c r="N342" s="4">
        <f t="shared" si="5"/>
        <v>0</v>
      </c>
      <c r="O342" s="4">
        <v>0.0</v>
      </c>
      <c r="P342" s="4">
        <f t="shared" si="6"/>
        <v>0</v>
      </c>
      <c r="Q342" s="4">
        <v>0.0</v>
      </c>
      <c r="R342" s="4">
        <v>0.0</v>
      </c>
      <c r="S342" s="4">
        <v>0.0</v>
      </c>
      <c r="T342" s="4">
        <v>198.0</v>
      </c>
      <c r="U342" s="4">
        <v>251.0</v>
      </c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4">
        <v>6.775888955E9</v>
      </c>
      <c r="B343" s="4">
        <v>42373.0</v>
      </c>
      <c r="C343" s="4">
        <v>7225.0</v>
      </c>
      <c r="D343" s="4" t="s">
        <v>519</v>
      </c>
      <c r="E343" s="4">
        <f t="shared" si="1"/>
        <v>5.18</v>
      </c>
      <c r="F343" s="4" t="s">
        <v>519</v>
      </c>
      <c r="G343" s="4">
        <f t="shared" si="2"/>
        <v>5.18</v>
      </c>
      <c r="H343" s="4">
        <v>0.0</v>
      </c>
      <c r="I343" s="4" t="s">
        <v>482</v>
      </c>
      <c r="J343" s="4">
        <f t="shared" si="3"/>
        <v>1.73</v>
      </c>
      <c r="K343" s="4" t="s">
        <v>212</v>
      </c>
      <c r="L343" s="4">
        <f t="shared" si="4"/>
        <v>1.27</v>
      </c>
      <c r="M343" s="4" t="s">
        <v>520</v>
      </c>
      <c r="N343" s="4">
        <f t="shared" si="5"/>
        <v>2.18</v>
      </c>
      <c r="O343" s="4">
        <v>0.0</v>
      </c>
      <c r="P343" s="4">
        <f t="shared" si="6"/>
        <v>0</v>
      </c>
      <c r="Q343" s="4">
        <v>25.0</v>
      </c>
      <c r="R343" s="4">
        <v>50.0</v>
      </c>
      <c r="S343" s="4">
        <v>163.0</v>
      </c>
      <c r="T343" s="4">
        <v>1189.0</v>
      </c>
      <c r="U343" s="4">
        <v>3065.0</v>
      </c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4">
        <v>6.775888955E9</v>
      </c>
      <c r="B344" s="4">
        <v>42404.0</v>
      </c>
      <c r="C344" s="4">
        <v>1988.0</v>
      </c>
      <c r="D344" s="4" t="s">
        <v>215</v>
      </c>
      <c r="E344" s="4">
        <f t="shared" si="1"/>
        <v>1.43</v>
      </c>
      <c r="F344" s="4" t="s">
        <v>215</v>
      </c>
      <c r="G344" s="4">
        <f t="shared" si="2"/>
        <v>1.43</v>
      </c>
      <c r="H344" s="4">
        <v>0.0</v>
      </c>
      <c r="I344" s="4">
        <v>0.0</v>
      </c>
      <c r="J344" s="4">
        <f t="shared" si="3"/>
        <v>0</v>
      </c>
      <c r="K344" s="4">
        <v>0.0</v>
      </c>
      <c r="L344" s="4">
        <f t="shared" si="4"/>
        <v>0</v>
      </c>
      <c r="M344" s="4" t="s">
        <v>215</v>
      </c>
      <c r="N344" s="4">
        <f t="shared" si="5"/>
        <v>1.43</v>
      </c>
      <c r="O344" s="4">
        <v>0.0</v>
      </c>
      <c r="P344" s="4">
        <f t="shared" si="6"/>
        <v>0</v>
      </c>
      <c r="Q344" s="4">
        <v>0.0</v>
      </c>
      <c r="R344" s="4">
        <v>0.0</v>
      </c>
      <c r="S344" s="4">
        <v>79.0</v>
      </c>
      <c r="T344" s="4">
        <v>909.0</v>
      </c>
      <c r="U344" s="4">
        <v>2207.0</v>
      </c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4">
        <v>6.775888955E9</v>
      </c>
      <c r="B345" s="4">
        <v>42433.0</v>
      </c>
      <c r="C345" s="4">
        <v>1577.0</v>
      </c>
      <c r="D345" s="4" t="s">
        <v>101</v>
      </c>
      <c r="E345" s="4">
        <f t="shared" si="1"/>
        <v>1.13</v>
      </c>
      <c r="F345" s="4" t="s">
        <v>101</v>
      </c>
      <c r="G345" s="4">
        <f t="shared" si="2"/>
        <v>1.13</v>
      </c>
      <c r="H345" s="4">
        <v>0.0</v>
      </c>
      <c r="I345" s="4" t="s">
        <v>336</v>
      </c>
      <c r="J345" s="4">
        <f t="shared" si="3"/>
        <v>0.07</v>
      </c>
      <c r="K345" s="4" t="s">
        <v>186</v>
      </c>
      <c r="L345" s="4">
        <f t="shared" si="4"/>
        <v>0.89</v>
      </c>
      <c r="M345" s="4" t="s">
        <v>139</v>
      </c>
      <c r="N345" s="4">
        <f t="shared" si="5"/>
        <v>0.17</v>
      </c>
      <c r="O345" s="4">
        <v>0.0</v>
      </c>
      <c r="P345" s="4">
        <f t="shared" si="6"/>
        <v>0</v>
      </c>
      <c r="Q345" s="4">
        <v>1.0</v>
      </c>
      <c r="R345" s="4">
        <v>17.0</v>
      </c>
      <c r="S345" s="4">
        <v>8.0</v>
      </c>
      <c r="T345" s="4">
        <v>1414.0</v>
      </c>
      <c r="U345" s="4">
        <v>1977.0</v>
      </c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4">
        <v>6.775888955E9</v>
      </c>
      <c r="B346" s="4">
        <v>42464.0</v>
      </c>
      <c r="C346" s="4">
        <v>0.0</v>
      </c>
      <c r="D346" s="4">
        <v>0.0</v>
      </c>
      <c r="E346" s="4">
        <f t="shared" si="1"/>
        <v>0</v>
      </c>
      <c r="F346" s="4">
        <v>0.0</v>
      </c>
      <c r="G346" s="4">
        <f t="shared" si="2"/>
        <v>0</v>
      </c>
      <c r="H346" s="4">
        <v>0.0</v>
      </c>
      <c r="I346" s="4">
        <v>0.0</v>
      </c>
      <c r="J346" s="4">
        <f t="shared" si="3"/>
        <v>0</v>
      </c>
      <c r="K346" s="4">
        <v>0.0</v>
      </c>
      <c r="L346" s="4">
        <f t="shared" si="4"/>
        <v>0</v>
      </c>
      <c r="M346" s="4">
        <v>0.0</v>
      </c>
      <c r="N346" s="4">
        <f t="shared" si="5"/>
        <v>0</v>
      </c>
      <c r="O346" s="4">
        <v>0.0</v>
      </c>
      <c r="P346" s="4">
        <f t="shared" si="6"/>
        <v>0</v>
      </c>
      <c r="Q346" s="4">
        <v>0.0</v>
      </c>
      <c r="R346" s="4">
        <v>0.0</v>
      </c>
      <c r="S346" s="4">
        <v>0.0</v>
      </c>
      <c r="T346" s="4">
        <v>1440.0</v>
      </c>
      <c r="U346" s="4">
        <v>1841.0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4">
        <v>6.775888955E9</v>
      </c>
      <c r="B347" s="4">
        <v>42494.0</v>
      </c>
      <c r="C347" s="4">
        <v>9348.0</v>
      </c>
      <c r="D347" s="4" t="s">
        <v>498</v>
      </c>
      <c r="E347" s="4">
        <f t="shared" si="1"/>
        <v>6.7</v>
      </c>
      <c r="F347" s="4" t="s">
        <v>498</v>
      </c>
      <c r="G347" s="4">
        <f t="shared" si="2"/>
        <v>6.7</v>
      </c>
      <c r="H347" s="4">
        <v>0.0</v>
      </c>
      <c r="I347" s="4" t="s">
        <v>101</v>
      </c>
      <c r="J347" s="4">
        <f t="shared" si="3"/>
        <v>1.13</v>
      </c>
      <c r="K347" s="4" t="s">
        <v>80</v>
      </c>
      <c r="L347" s="4">
        <f t="shared" si="4"/>
        <v>2.04</v>
      </c>
      <c r="M347" s="4" t="s">
        <v>521</v>
      </c>
      <c r="N347" s="4">
        <f t="shared" si="5"/>
        <v>3.14</v>
      </c>
      <c r="O347" s="4">
        <v>0.0</v>
      </c>
      <c r="P347" s="4">
        <f t="shared" si="6"/>
        <v>0</v>
      </c>
      <c r="Q347" s="4">
        <v>56.0</v>
      </c>
      <c r="R347" s="4">
        <v>133.0</v>
      </c>
      <c r="S347" s="4">
        <v>240.0</v>
      </c>
      <c r="T347" s="4">
        <v>1011.0</v>
      </c>
      <c r="U347" s="4">
        <v>4286.0</v>
      </c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4">
        <v>6.775888955E9</v>
      </c>
      <c r="B348" s="4">
        <v>42525.0</v>
      </c>
      <c r="C348" s="4">
        <v>11761.0</v>
      </c>
      <c r="D348" s="4" t="s">
        <v>522</v>
      </c>
      <c r="E348" s="4">
        <f t="shared" si="1"/>
        <v>8.43</v>
      </c>
      <c r="F348" s="4" t="s">
        <v>522</v>
      </c>
      <c r="G348" s="4">
        <f t="shared" si="2"/>
        <v>8.43</v>
      </c>
      <c r="H348" s="4">
        <v>0.0</v>
      </c>
      <c r="I348" s="4" t="s">
        <v>154</v>
      </c>
      <c r="J348" s="4">
        <f t="shared" si="3"/>
        <v>1.31</v>
      </c>
      <c r="K348" s="4" t="s">
        <v>523</v>
      </c>
      <c r="L348" s="4">
        <f t="shared" si="4"/>
        <v>2.44</v>
      </c>
      <c r="M348" s="4" t="s">
        <v>248</v>
      </c>
      <c r="N348" s="4">
        <f t="shared" si="5"/>
        <v>4.68</v>
      </c>
      <c r="O348" s="4">
        <v>0.0</v>
      </c>
      <c r="P348" s="4">
        <f t="shared" si="6"/>
        <v>0</v>
      </c>
      <c r="Q348" s="4">
        <v>24.0</v>
      </c>
      <c r="R348" s="4">
        <v>99.0</v>
      </c>
      <c r="S348" s="4">
        <v>300.0</v>
      </c>
      <c r="T348" s="4">
        <v>550.0</v>
      </c>
      <c r="U348" s="4">
        <v>3920.0</v>
      </c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4">
        <v>6.775888955E9</v>
      </c>
      <c r="B349" s="4">
        <v>42555.0</v>
      </c>
      <c r="C349" s="4">
        <v>13987.0</v>
      </c>
      <c r="D349" s="4" t="s">
        <v>524</v>
      </c>
      <c r="E349" s="4">
        <f t="shared" si="1"/>
        <v>10.03</v>
      </c>
      <c r="F349" s="4" t="s">
        <v>524</v>
      </c>
      <c r="G349" s="4">
        <f t="shared" si="2"/>
        <v>10.03</v>
      </c>
      <c r="H349" s="4">
        <v>0.0</v>
      </c>
      <c r="I349" s="4" t="s">
        <v>525</v>
      </c>
      <c r="J349" s="4">
        <f t="shared" si="3"/>
        <v>2.87</v>
      </c>
      <c r="K349" s="4" t="s">
        <v>526</v>
      </c>
      <c r="L349" s="4">
        <f t="shared" si="4"/>
        <v>3.34</v>
      </c>
      <c r="M349" s="4" t="s">
        <v>393</v>
      </c>
      <c r="N349" s="4">
        <f t="shared" si="5"/>
        <v>3.82</v>
      </c>
      <c r="O349" s="4">
        <v>0.0</v>
      </c>
      <c r="P349" s="4">
        <f t="shared" si="6"/>
        <v>0</v>
      </c>
      <c r="Q349" s="4">
        <v>46.0</v>
      </c>
      <c r="R349" s="4">
        <v>114.0</v>
      </c>
      <c r="S349" s="4">
        <v>250.0</v>
      </c>
      <c r="T349" s="4">
        <v>739.0</v>
      </c>
      <c r="U349" s="4">
        <v>3856.0</v>
      </c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4">
        <v>6.775888955E9</v>
      </c>
      <c r="B350" s="4">
        <v>42586.0</v>
      </c>
      <c r="C350" s="4">
        <v>4131.0</v>
      </c>
      <c r="D350" s="4" t="s">
        <v>372</v>
      </c>
      <c r="E350" s="4">
        <f t="shared" si="1"/>
        <v>2.96</v>
      </c>
      <c r="F350" s="4" t="s">
        <v>372</v>
      </c>
      <c r="G350" s="4">
        <f t="shared" si="2"/>
        <v>2.96</v>
      </c>
      <c r="H350" s="4">
        <v>0.0</v>
      </c>
      <c r="I350" s="4" t="s">
        <v>500</v>
      </c>
      <c r="J350" s="4">
        <f t="shared" si="3"/>
        <v>1.37</v>
      </c>
      <c r="K350" s="4" t="s">
        <v>159</v>
      </c>
      <c r="L350" s="4">
        <f t="shared" si="4"/>
        <v>0.61</v>
      </c>
      <c r="M350" s="4" t="s">
        <v>191</v>
      </c>
      <c r="N350" s="4">
        <f t="shared" si="5"/>
        <v>0.98</v>
      </c>
      <c r="O350" s="4">
        <v>0.0</v>
      </c>
      <c r="P350" s="4">
        <f t="shared" si="6"/>
        <v>0</v>
      </c>
      <c r="Q350" s="4">
        <v>27.0</v>
      </c>
      <c r="R350" s="4">
        <v>30.0</v>
      </c>
      <c r="S350" s="4">
        <v>75.0</v>
      </c>
      <c r="T350" s="4">
        <v>1308.0</v>
      </c>
      <c r="U350" s="4">
        <v>2584.0</v>
      </c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4">
        <v>6.775888955E9</v>
      </c>
      <c r="B351" s="4">
        <v>42617.0</v>
      </c>
      <c r="C351" s="4">
        <v>14.0</v>
      </c>
      <c r="D351" s="4" t="s">
        <v>102</v>
      </c>
      <c r="E351" s="4">
        <f t="shared" si="1"/>
        <v>0.01</v>
      </c>
      <c r="F351" s="4" t="s">
        <v>102</v>
      </c>
      <c r="G351" s="4">
        <f t="shared" si="2"/>
        <v>0.01</v>
      </c>
      <c r="H351" s="4">
        <v>0.0</v>
      </c>
      <c r="I351" s="4">
        <v>0.0</v>
      </c>
      <c r="J351" s="4">
        <f t="shared" si="3"/>
        <v>0</v>
      </c>
      <c r="K351" s="4">
        <v>0.0</v>
      </c>
      <c r="L351" s="4">
        <f t="shared" si="4"/>
        <v>0</v>
      </c>
      <c r="M351" s="4" t="s">
        <v>102</v>
      </c>
      <c r="N351" s="4">
        <f t="shared" si="5"/>
        <v>0.01</v>
      </c>
      <c r="O351" s="4">
        <v>0.0</v>
      </c>
      <c r="P351" s="4">
        <f t="shared" si="6"/>
        <v>0</v>
      </c>
      <c r="Q351" s="4">
        <v>0.0</v>
      </c>
      <c r="R351" s="4">
        <v>0.0</v>
      </c>
      <c r="S351" s="4">
        <v>1.0</v>
      </c>
      <c r="T351" s="4">
        <v>601.0</v>
      </c>
      <c r="U351" s="4">
        <v>787.0</v>
      </c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4">
        <v>6.962181067E9</v>
      </c>
      <c r="B352" s="4" t="s">
        <v>48</v>
      </c>
      <c r="C352" s="4">
        <v>15491.0</v>
      </c>
      <c r="D352" s="4" t="s">
        <v>527</v>
      </c>
      <c r="E352" s="4">
        <f t="shared" si="1"/>
        <v>10.24</v>
      </c>
      <c r="F352" s="4" t="s">
        <v>527</v>
      </c>
      <c r="G352" s="4">
        <f t="shared" si="2"/>
        <v>10.24</v>
      </c>
      <c r="H352" s="4">
        <v>0.0</v>
      </c>
      <c r="I352" s="4" t="s">
        <v>105</v>
      </c>
      <c r="J352" s="4">
        <f t="shared" si="3"/>
        <v>1.29</v>
      </c>
      <c r="K352" s="4" t="s">
        <v>445</v>
      </c>
      <c r="L352" s="4">
        <f t="shared" si="4"/>
        <v>4.49</v>
      </c>
      <c r="M352" s="4" t="s">
        <v>418</v>
      </c>
      <c r="N352" s="4">
        <f t="shared" si="5"/>
        <v>4.46</v>
      </c>
      <c r="O352" s="4">
        <v>0.0</v>
      </c>
      <c r="P352" s="4">
        <f t="shared" si="6"/>
        <v>0</v>
      </c>
      <c r="Q352" s="4">
        <v>18.0</v>
      </c>
      <c r="R352" s="4">
        <v>77.0</v>
      </c>
      <c r="S352" s="4">
        <v>272.0</v>
      </c>
      <c r="T352" s="4">
        <v>641.0</v>
      </c>
      <c r="U352" s="4">
        <v>2244.0</v>
      </c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4">
        <v>6.962181067E9</v>
      </c>
      <c r="B353" s="4" t="s">
        <v>54</v>
      </c>
      <c r="C353" s="4">
        <v>14097.0</v>
      </c>
      <c r="D353" s="4" t="s">
        <v>528</v>
      </c>
      <c r="E353" s="4">
        <f t="shared" si="1"/>
        <v>9.32</v>
      </c>
      <c r="F353" s="4" t="s">
        <v>528</v>
      </c>
      <c r="G353" s="4">
        <f t="shared" si="2"/>
        <v>9.32</v>
      </c>
      <c r="H353" s="4">
        <v>0.0</v>
      </c>
      <c r="I353" s="4">
        <v>45780.0</v>
      </c>
      <c r="J353" s="4">
        <f t="shared" si="3"/>
        <v>45780</v>
      </c>
      <c r="K353" s="4" t="s">
        <v>220</v>
      </c>
      <c r="L353" s="4">
        <f t="shared" si="4"/>
        <v>1.92</v>
      </c>
      <c r="M353" s="4" t="s">
        <v>529</v>
      </c>
      <c r="N353" s="4">
        <f t="shared" si="5"/>
        <v>3.9</v>
      </c>
      <c r="O353" s="4">
        <v>0.0</v>
      </c>
      <c r="P353" s="4">
        <f t="shared" si="6"/>
        <v>0</v>
      </c>
      <c r="Q353" s="4">
        <v>50.0</v>
      </c>
      <c r="R353" s="4">
        <v>32.0</v>
      </c>
      <c r="S353" s="4">
        <v>234.0</v>
      </c>
      <c r="T353" s="4">
        <v>595.0</v>
      </c>
      <c r="U353" s="4">
        <v>2188.0</v>
      </c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4">
        <v>6.962181067E9</v>
      </c>
      <c r="B354" s="4">
        <v>42373.0</v>
      </c>
      <c r="C354" s="4">
        <v>10467.0</v>
      </c>
      <c r="D354" s="4" t="s">
        <v>93</v>
      </c>
      <c r="E354" s="4">
        <f t="shared" si="1"/>
        <v>6.98</v>
      </c>
      <c r="F354" s="4" t="s">
        <v>93</v>
      </c>
      <c r="G354" s="4">
        <f t="shared" si="2"/>
        <v>6.98</v>
      </c>
      <c r="H354" s="4">
        <v>0.0</v>
      </c>
      <c r="I354" s="4" t="s">
        <v>73</v>
      </c>
      <c r="J354" s="4">
        <f t="shared" si="3"/>
        <v>0.7</v>
      </c>
      <c r="K354" s="4" t="s">
        <v>530</v>
      </c>
      <c r="L354" s="4">
        <f t="shared" si="4"/>
        <v>2.43</v>
      </c>
      <c r="M354" s="4" t="s">
        <v>374</v>
      </c>
      <c r="N354" s="4">
        <f t="shared" si="5"/>
        <v>3.85</v>
      </c>
      <c r="O354" s="4">
        <v>0.0</v>
      </c>
      <c r="P354" s="4">
        <f t="shared" si="6"/>
        <v>0</v>
      </c>
      <c r="Q354" s="4">
        <v>9.0</v>
      </c>
      <c r="R354" s="4">
        <v>45.0</v>
      </c>
      <c r="S354" s="4">
        <v>252.0</v>
      </c>
      <c r="T354" s="4">
        <v>602.0</v>
      </c>
      <c r="U354" s="4">
        <v>2014.0</v>
      </c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4">
        <v>6.962181067E9</v>
      </c>
      <c r="B355" s="4">
        <v>42404.0</v>
      </c>
      <c r="C355" s="4">
        <v>12437.0</v>
      </c>
      <c r="D355" s="4" t="s">
        <v>499</v>
      </c>
      <c r="E355" s="4">
        <f t="shared" si="1"/>
        <v>8.3</v>
      </c>
      <c r="F355" s="4" t="s">
        <v>499</v>
      </c>
      <c r="G355" s="4">
        <f t="shared" si="2"/>
        <v>8.3</v>
      </c>
      <c r="H355" s="4">
        <v>0.0</v>
      </c>
      <c r="I355" s="4" t="s">
        <v>401</v>
      </c>
      <c r="J355" s="4">
        <f t="shared" si="3"/>
        <v>3.76</v>
      </c>
      <c r="K355" s="4" t="s">
        <v>105</v>
      </c>
      <c r="L355" s="4">
        <f t="shared" si="4"/>
        <v>1.29</v>
      </c>
      <c r="M355" s="4" t="s">
        <v>531</v>
      </c>
      <c r="N355" s="4">
        <f t="shared" si="5"/>
        <v>3.24</v>
      </c>
      <c r="O355" s="4">
        <v>0.0</v>
      </c>
      <c r="P355" s="4">
        <f t="shared" si="6"/>
        <v>0</v>
      </c>
      <c r="Q355" s="4">
        <v>50.0</v>
      </c>
      <c r="R355" s="4">
        <v>24.0</v>
      </c>
      <c r="S355" s="4">
        <v>219.0</v>
      </c>
      <c r="T355" s="4">
        <v>732.0</v>
      </c>
      <c r="U355" s="4">
        <v>2115.0</v>
      </c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4">
        <v>6.962181067E9</v>
      </c>
      <c r="B356" s="4">
        <v>42433.0</v>
      </c>
      <c r="C356" s="4">
        <v>12307.0</v>
      </c>
      <c r="D356" s="4" t="s">
        <v>532</v>
      </c>
      <c r="E356" s="4">
        <f t="shared" si="1"/>
        <v>8.14</v>
      </c>
      <c r="F356" s="4" t="s">
        <v>532</v>
      </c>
      <c r="G356" s="4">
        <f t="shared" si="2"/>
        <v>8.14</v>
      </c>
      <c r="H356" s="4">
        <v>0.0</v>
      </c>
      <c r="I356" s="4" t="s">
        <v>107</v>
      </c>
      <c r="J356" s="4">
        <f t="shared" si="3"/>
        <v>1.01</v>
      </c>
      <c r="K356" s="4" t="s">
        <v>502</v>
      </c>
      <c r="L356" s="4">
        <f t="shared" si="4"/>
        <v>3.26</v>
      </c>
      <c r="M356" s="4" t="s">
        <v>373</v>
      </c>
      <c r="N356" s="4">
        <f t="shared" si="5"/>
        <v>3.87</v>
      </c>
      <c r="O356" s="4">
        <v>0.0</v>
      </c>
      <c r="P356" s="4">
        <f t="shared" si="6"/>
        <v>0</v>
      </c>
      <c r="Q356" s="4">
        <v>14.0</v>
      </c>
      <c r="R356" s="4">
        <v>51.0</v>
      </c>
      <c r="S356" s="4">
        <v>218.0</v>
      </c>
      <c r="T356" s="4">
        <v>589.0</v>
      </c>
      <c r="U356" s="4">
        <v>2055.0</v>
      </c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4">
        <v>6.962181067E9</v>
      </c>
      <c r="B357" s="4">
        <v>42464.0</v>
      </c>
      <c r="C357" s="4">
        <v>18952.0</v>
      </c>
      <c r="D357" s="4" t="s">
        <v>533</v>
      </c>
      <c r="E357" s="4">
        <f t="shared" si="1"/>
        <v>12.8</v>
      </c>
      <c r="F357" s="4" t="s">
        <v>533</v>
      </c>
      <c r="G357" s="4">
        <f t="shared" si="2"/>
        <v>12.8</v>
      </c>
      <c r="H357" s="4">
        <v>0.0</v>
      </c>
      <c r="I357" s="4" t="s">
        <v>534</v>
      </c>
      <c r="J357" s="4">
        <f t="shared" si="3"/>
        <v>5.91</v>
      </c>
      <c r="K357" s="4" t="s">
        <v>244</v>
      </c>
      <c r="L357" s="4">
        <f t="shared" si="4"/>
        <v>1.23</v>
      </c>
      <c r="M357" s="4" t="s">
        <v>419</v>
      </c>
      <c r="N357" s="4">
        <f t="shared" si="5"/>
        <v>5.66</v>
      </c>
      <c r="O357" s="4">
        <v>0.0</v>
      </c>
      <c r="P357" s="4">
        <f t="shared" si="6"/>
        <v>0</v>
      </c>
      <c r="Q357" s="4">
        <v>73.0</v>
      </c>
      <c r="R357" s="4">
        <v>20.0</v>
      </c>
      <c r="S357" s="4">
        <v>327.0</v>
      </c>
      <c r="T357" s="4">
        <v>570.0</v>
      </c>
      <c r="U357" s="4">
        <v>2437.0</v>
      </c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4">
        <v>6.962181067E9</v>
      </c>
      <c r="B358" s="4">
        <v>42494.0</v>
      </c>
      <c r="C358" s="4">
        <v>12010.0</v>
      </c>
      <c r="D358" s="4" t="s">
        <v>86</v>
      </c>
      <c r="E358" s="4">
        <f t="shared" si="1"/>
        <v>7.94</v>
      </c>
      <c r="F358" s="4" t="s">
        <v>86</v>
      </c>
      <c r="G358" s="4">
        <f t="shared" si="2"/>
        <v>7.94</v>
      </c>
      <c r="H358" s="4">
        <v>0.0</v>
      </c>
      <c r="I358" s="4" t="s">
        <v>535</v>
      </c>
      <c r="J358" s="4">
        <f t="shared" si="3"/>
        <v>2.38</v>
      </c>
      <c r="K358" s="4" t="s">
        <v>382</v>
      </c>
      <c r="L358" s="4">
        <f t="shared" si="4"/>
        <v>0.95</v>
      </c>
      <c r="M358" s="4" t="s">
        <v>46</v>
      </c>
      <c r="N358" s="4">
        <f t="shared" si="5"/>
        <v>4.61</v>
      </c>
      <c r="O358" s="4">
        <v>0.0</v>
      </c>
      <c r="P358" s="4">
        <f t="shared" si="6"/>
        <v>0</v>
      </c>
      <c r="Q358" s="4">
        <v>38.0</v>
      </c>
      <c r="R358" s="4">
        <v>17.0</v>
      </c>
      <c r="S358" s="4">
        <v>287.0</v>
      </c>
      <c r="T358" s="4">
        <v>692.0</v>
      </c>
      <c r="U358" s="4">
        <v>2158.0</v>
      </c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4">
        <v>6.962181067E9</v>
      </c>
      <c r="B359" s="4">
        <v>42525.0</v>
      </c>
      <c r="C359" s="4">
        <v>12480.0</v>
      </c>
      <c r="D359" s="4" t="s">
        <v>536</v>
      </c>
      <c r="E359" s="4">
        <f t="shared" si="1"/>
        <v>8.86</v>
      </c>
      <c r="F359" s="4" t="s">
        <v>537</v>
      </c>
      <c r="G359" s="4">
        <f t="shared" si="2"/>
        <v>8.25</v>
      </c>
      <c r="H359" s="4" t="s">
        <v>538</v>
      </c>
      <c r="I359" s="4" t="s">
        <v>70</v>
      </c>
      <c r="J359" s="4">
        <f t="shared" si="3"/>
        <v>4.18</v>
      </c>
      <c r="K359" s="4" t="s">
        <v>278</v>
      </c>
      <c r="L359" s="4">
        <f t="shared" si="4"/>
        <v>0.69</v>
      </c>
      <c r="M359" s="4">
        <v>4.0</v>
      </c>
      <c r="N359" s="4">
        <f t="shared" si="5"/>
        <v>4</v>
      </c>
      <c r="O359" s="4">
        <v>0.0</v>
      </c>
      <c r="P359" s="4">
        <f t="shared" si="6"/>
        <v>0</v>
      </c>
      <c r="Q359" s="4">
        <v>55.0</v>
      </c>
      <c r="R359" s="4">
        <v>14.0</v>
      </c>
      <c r="S359" s="4">
        <v>276.0</v>
      </c>
      <c r="T359" s="4">
        <v>593.0</v>
      </c>
      <c r="U359" s="4">
        <v>2170.0</v>
      </c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4">
        <v>6.962181067E9</v>
      </c>
      <c r="B360" s="4">
        <v>42555.0</v>
      </c>
      <c r="C360" s="4">
        <v>13417.0</v>
      </c>
      <c r="D360" s="4" t="s">
        <v>539</v>
      </c>
      <c r="E360" s="4">
        <f t="shared" si="1"/>
        <v>9.65</v>
      </c>
      <c r="F360" s="4" t="s">
        <v>540</v>
      </c>
      <c r="G360" s="4">
        <f t="shared" si="2"/>
        <v>8.87</v>
      </c>
      <c r="H360" s="4" t="s">
        <v>541</v>
      </c>
      <c r="I360" s="4" t="s">
        <v>72</v>
      </c>
      <c r="J360" s="4">
        <f t="shared" si="3"/>
        <v>3.39</v>
      </c>
      <c r="K360" s="4" t="s">
        <v>259</v>
      </c>
      <c r="L360" s="4">
        <f t="shared" si="4"/>
        <v>1.25</v>
      </c>
      <c r="M360" s="4" t="s">
        <v>313</v>
      </c>
      <c r="N360" s="4">
        <f t="shared" si="5"/>
        <v>4.91</v>
      </c>
      <c r="O360" s="4" t="s">
        <v>435</v>
      </c>
      <c r="P360" s="4">
        <f t="shared" si="6"/>
        <v>0.1</v>
      </c>
      <c r="Q360" s="4">
        <v>45.0</v>
      </c>
      <c r="R360" s="4">
        <v>16.0</v>
      </c>
      <c r="S360" s="4">
        <v>284.0</v>
      </c>
      <c r="T360" s="4">
        <v>665.0</v>
      </c>
      <c r="U360" s="4">
        <v>2244.0</v>
      </c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4">
        <v>6.962181067E9</v>
      </c>
      <c r="B361" s="4">
        <v>42586.0</v>
      </c>
      <c r="C361" s="4">
        <v>14400.0</v>
      </c>
      <c r="D361" s="4" t="s">
        <v>542</v>
      </c>
      <c r="E361" s="4">
        <f t="shared" si="1"/>
        <v>10.88</v>
      </c>
      <c r="F361" s="4" t="s">
        <v>543</v>
      </c>
      <c r="G361" s="4">
        <f t="shared" si="2"/>
        <v>9.52</v>
      </c>
      <c r="H361" s="4" t="s">
        <v>544</v>
      </c>
      <c r="I361" s="4" t="s">
        <v>545</v>
      </c>
      <c r="J361" s="4">
        <f t="shared" si="3"/>
        <v>2.47</v>
      </c>
      <c r="K361" s="4" t="s">
        <v>497</v>
      </c>
      <c r="L361" s="4">
        <f t="shared" si="4"/>
        <v>2.88</v>
      </c>
      <c r="M361" s="4" t="s">
        <v>332</v>
      </c>
      <c r="N361" s="4">
        <f t="shared" si="5"/>
        <v>5.53</v>
      </c>
      <c r="O361" s="4">
        <v>0.0</v>
      </c>
      <c r="P361" s="4">
        <f t="shared" si="6"/>
        <v>0</v>
      </c>
      <c r="Q361" s="4">
        <v>27.0</v>
      </c>
      <c r="R361" s="4">
        <v>37.0</v>
      </c>
      <c r="S361" s="4">
        <v>276.0</v>
      </c>
      <c r="T361" s="4">
        <v>697.0</v>
      </c>
      <c r="U361" s="4">
        <v>2188.0</v>
      </c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4">
        <v>6.962181067E9</v>
      </c>
      <c r="B362" s="4">
        <v>42617.0</v>
      </c>
      <c r="C362" s="4">
        <v>12495.0</v>
      </c>
      <c r="D362" s="4" t="s">
        <v>546</v>
      </c>
      <c r="E362" s="4">
        <f t="shared" si="1"/>
        <v>8.26</v>
      </c>
      <c r="F362" s="4" t="s">
        <v>546</v>
      </c>
      <c r="G362" s="4">
        <f t="shared" si="2"/>
        <v>8.26</v>
      </c>
      <c r="H362" s="4">
        <v>0.0</v>
      </c>
      <c r="I362" s="4" t="s">
        <v>171</v>
      </c>
      <c r="J362" s="4">
        <f t="shared" si="3"/>
        <v>2.21</v>
      </c>
      <c r="K362" s="4" t="s">
        <v>45</v>
      </c>
      <c r="L362" s="4">
        <f t="shared" si="4"/>
        <v>1.09</v>
      </c>
      <c r="M362" s="4" t="s">
        <v>547</v>
      </c>
      <c r="N362" s="4">
        <f t="shared" si="5"/>
        <v>4.96</v>
      </c>
      <c r="O362" s="4">
        <v>0.0</v>
      </c>
      <c r="P362" s="4">
        <f t="shared" si="6"/>
        <v>0</v>
      </c>
      <c r="Q362" s="4">
        <v>33.0</v>
      </c>
      <c r="R362" s="4">
        <v>19.0</v>
      </c>
      <c r="S362" s="4">
        <v>324.0</v>
      </c>
      <c r="T362" s="4">
        <v>609.0</v>
      </c>
      <c r="U362" s="4">
        <v>2231.0</v>
      </c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4">
        <v>6.962181067E9</v>
      </c>
      <c r="B363" s="4">
        <v>42647.0</v>
      </c>
      <c r="C363" s="4">
        <v>10148.0</v>
      </c>
      <c r="D363" s="4" t="s">
        <v>548</v>
      </c>
      <c r="E363" s="4">
        <f t="shared" si="1"/>
        <v>6.71</v>
      </c>
      <c r="F363" s="4" t="s">
        <v>548</v>
      </c>
      <c r="G363" s="4">
        <f t="shared" si="2"/>
        <v>6.71</v>
      </c>
      <c r="H363" s="4">
        <v>0.0</v>
      </c>
      <c r="I363" s="4" t="s">
        <v>549</v>
      </c>
      <c r="J363" s="4">
        <f t="shared" si="3"/>
        <v>1.36</v>
      </c>
      <c r="K363" s="4" t="s">
        <v>211</v>
      </c>
      <c r="L363" s="4">
        <f t="shared" si="4"/>
        <v>0.22</v>
      </c>
      <c r="M363" s="4" t="s">
        <v>269</v>
      </c>
      <c r="N363" s="4">
        <f t="shared" si="5"/>
        <v>5.13</v>
      </c>
      <c r="O363" s="4">
        <v>0.0</v>
      </c>
      <c r="P363" s="4">
        <f t="shared" si="6"/>
        <v>0</v>
      </c>
      <c r="Q363" s="4">
        <v>19.0</v>
      </c>
      <c r="R363" s="4">
        <v>7.0</v>
      </c>
      <c r="S363" s="4">
        <v>306.0</v>
      </c>
      <c r="T363" s="4">
        <v>679.0</v>
      </c>
      <c r="U363" s="4">
        <v>2100.0</v>
      </c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4">
        <v>6.962181067E9</v>
      </c>
      <c r="B364" s="4">
        <v>42678.0</v>
      </c>
      <c r="C364" s="4">
        <v>12362.0</v>
      </c>
      <c r="D364" s="4" t="s">
        <v>550</v>
      </c>
      <c r="E364" s="4">
        <f t="shared" si="1"/>
        <v>9.09</v>
      </c>
      <c r="F364" s="4" t="s">
        <v>551</v>
      </c>
      <c r="G364" s="4">
        <f t="shared" si="2"/>
        <v>8.17</v>
      </c>
      <c r="H364" s="4" t="s">
        <v>552</v>
      </c>
      <c r="I364" s="4" t="s">
        <v>45</v>
      </c>
      <c r="J364" s="4">
        <f t="shared" si="3"/>
        <v>1.09</v>
      </c>
      <c r="K364" s="4" t="s">
        <v>553</v>
      </c>
      <c r="L364" s="4">
        <f t="shared" si="4"/>
        <v>2.73</v>
      </c>
      <c r="M364" s="4" t="s">
        <v>426</v>
      </c>
      <c r="N364" s="4">
        <f t="shared" si="5"/>
        <v>5.27</v>
      </c>
      <c r="O364" s="4">
        <v>0.0</v>
      </c>
      <c r="P364" s="4">
        <f t="shared" si="6"/>
        <v>0</v>
      </c>
      <c r="Q364" s="4">
        <v>21.0</v>
      </c>
      <c r="R364" s="4">
        <v>38.0</v>
      </c>
      <c r="S364" s="4">
        <v>297.0</v>
      </c>
      <c r="T364" s="4">
        <v>678.0</v>
      </c>
      <c r="U364" s="4">
        <v>2188.0</v>
      </c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4">
        <v>6.962181067E9</v>
      </c>
      <c r="B365" s="4">
        <v>42708.0</v>
      </c>
      <c r="C365" s="4">
        <v>5893.0</v>
      </c>
      <c r="D365" s="4" t="s">
        <v>529</v>
      </c>
      <c r="E365" s="4">
        <f t="shared" si="1"/>
        <v>3.9</v>
      </c>
      <c r="F365" s="4" t="s">
        <v>529</v>
      </c>
      <c r="G365" s="4">
        <f t="shared" si="2"/>
        <v>3.9</v>
      </c>
      <c r="H365" s="4">
        <v>0.0</v>
      </c>
      <c r="I365" s="4" t="s">
        <v>497</v>
      </c>
      <c r="J365" s="4">
        <f t="shared" si="3"/>
        <v>2.88</v>
      </c>
      <c r="K365" s="4" t="s">
        <v>200</v>
      </c>
      <c r="L365" s="4">
        <f t="shared" si="4"/>
        <v>0.56</v>
      </c>
      <c r="M365" s="4" t="s">
        <v>24</v>
      </c>
      <c r="N365" s="4">
        <f t="shared" si="5"/>
        <v>0.46</v>
      </c>
      <c r="O365" s="4">
        <v>0.0</v>
      </c>
      <c r="P365" s="4">
        <f t="shared" si="6"/>
        <v>0</v>
      </c>
      <c r="Q365" s="4">
        <v>43.0</v>
      </c>
      <c r="R365" s="4">
        <v>9.0</v>
      </c>
      <c r="S365" s="4">
        <v>48.0</v>
      </c>
      <c r="T365" s="4">
        <v>146.0</v>
      </c>
      <c r="U365" s="4">
        <v>917.0</v>
      </c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4">
        <v>7.007744171E9</v>
      </c>
      <c r="B366" s="4">
        <v>42373.0</v>
      </c>
      <c r="C366" s="4">
        <v>11680.0</v>
      </c>
      <c r="D366" s="4" t="s">
        <v>554</v>
      </c>
      <c r="E366" s="4">
        <f t="shared" si="1"/>
        <v>9.06</v>
      </c>
      <c r="F366" s="4" t="s">
        <v>555</v>
      </c>
      <c r="G366" s="4">
        <f t="shared" si="2"/>
        <v>7.81</v>
      </c>
      <c r="H366" s="4" t="s">
        <v>556</v>
      </c>
      <c r="I366" s="4" t="s">
        <v>445</v>
      </c>
      <c r="J366" s="4">
        <f t="shared" si="3"/>
        <v>4.49</v>
      </c>
      <c r="K366" s="4" t="s">
        <v>265</v>
      </c>
      <c r="L366" s="4">
        <f t="shared" si="4"/>
        <v>0.33</v>
      </c>
      <c r="M366" s="4" t="s">
        <v>557</v>
      </c>
      <c r="N366" s="4">
        <f t="shared" si="5"/>
        <v>4.24</v>
      </c>
      <c r="O366" s="4">
        <v>0.0</v>
      </c>
      <c r="P366" s="4">
        <f t="shared" si="6"/>
        <v>0</v>
      </c>
      <c r="Q366" s="4">
        <v>50.0</v>
      </c>
      <c r="R366" s="4">
        <v>7.0</v>
      </c>
      <c r="S366" s="4">
        <v>244.0</v>
      </c>
      <c r="T366" s="4">
        <v>1139.0</v>
      </c>
      <c r="U366" s="4">
        <v>2573.0</v>
      </c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4">
        <v>7.007744171E9</v>
      </c>
      <c r="B367" s="4">
        <v>42404.0</v>
      </c>
      <c r="C367" s="4">
        <v>10976.0</v>
      </c>
      <c r="D367" s="4" t="s">
        <v>249</v>
      </c>
      <c r="E367" s="4">
        <f t="shared" si="1"/>
        <v>7.34</v>
      </c>
      <c r="F367" s="4" t="s">
        <v>249</v>
      </c>
      <c r="G367" s="4">
        <f t="shared" si="2"/>
        <v>7.34</v>
      </c>
      <c r="H367" s="4">
        <v>0.0</v>
      </c>
      <c r="I367" s="4" t="s">
        <v>399</v>
      </c>
      <c r="J367" s="4">
        <f t="shared" si="3"/>
        <v>0.55</v>
      </c>
      <c r="K367" s="4" t="s">
        <v>491</v>
      </c>
      <c r="L367" s="4">
        <f t="shared" si="4"/>
        <v>0.67</v>
      </c>
      <c r="M367" s="4" t="s">
        <v>558</v>
      </c>
      <c r="N367" s="4">
        <f t="shared" si="5"/>
        <v>6.13</v>
      </c>
      <c r="O367" s="4">
        <v>0.0</v>
      </c>
      <c r="P367" s="4">
        <f t="shared" si="6"/>
        <v>0</v>
      </c>
      <c r="Q367" s="4">
        <v>9.0</v>
      </c>
      <c r="R367" s="4">
        <v>16.0</v>
      </c>
      <c r="S367" s="4">
        <v>271.0</v>
      </c>
      <c r="T367" s="4">
        <v>1075.0</v>
      </c>
      <c r="U367" s="4">
        <v>2575.0</v>
      </c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4">
        <v>7.007744171E9</v>
      </c>
      <c r="B368" s="4">
        <v>42433.0</v>
      </c>
      <c r="C368" s="4">
        <v>16806.0</v>
      </c>
      <c r="D368" s="4" t="s">
        <v>559</v>
      </c>
      <c r="E368" s="4">
        <f t="shared" si="1"/>
        <v>11.24</v>
      </c>
      <c r="F368" s="4" t="s">
        <v>559</v>
      </c>
      <c r="G368" s="4">
        <f t="shared" si="2"/>
        <v>11.24</v>
      </c>
      <c r="H368" s="4">
        <v>0.0</v>
      </c>
      <c r="I368" s="4" t="s">
        <v>352</v>
      </c>
      <c r="J368" s="4">
        <f t="shared" si="3"/>
        <v>6.41</v>
      </c>
      <c r="K368" s="4" t="s">
        <v>500</v>
      </c>
      <c r="L368" s="4">
        <f t="shared" si="4"/>
        <v>1.37</v>
      </c>
      <c r="M368" s="4" t="s">
        <v>560</v>
      </c>
      <c r="N368" s="4">
        <f t="shared" si="5"/>
        <v>3.47</v>
      </c>
      <c r="O368" s="4">
        <v>0.0</v>
      </c>
      <c r="P368" s="4">
        <f t="shared" si="6"/>
        <v>0</v>
      </c>
      <c r="Q368" s="4">
        <v>104.0</v>
      </c>
      <c r="R368" s="4">
        <v>31.0</v>
      </c>
      <c r="S368" s="4">
        <v>230.0</v>
      </c>
      <c r="T368" s="4">
        <v>1002.0</v>
      </c>
      <c r="U368" s="4">
        <v>3086.0</v>
      </c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4">
        <v>7.007744171E9</v>
      </c>
      <c r="B369" s="4">
        <v>42464.0</v>
      </c>
      <c r="C369" s="4">
        <v>15266.0</v>
      </c>
      <c r="D369" s="4" t="s">
        <v>561</v>
      </c>
      <c r="E369" s="4">
        <f t="shared" si="1"/>
        <v>11.4</v>
      </c>
      <c r="F369" s="4" t="s">
        <v>562</v>
      </c>
      <c r="G369" s="4">
        <f t="shared" si="2"/>
        <v>10.21</v>
      </c>
      <c r="H369" s="4" t="s">
        <v>563</v>
      </c>
      <c r="I369" s="4" t="s">
        <v>564</v>
      </c>
      <c r="J369" s="4">
        <f t="shared" si="3"/>
        <v>5.8</v>
      </c>
      <c r="K369" s="4" t="s">
        <v>77</v>
      </c>
      <c r="L369" s="4">
        <f t="shared" si="4"/>
        <v>0.76</v>
      </c>
      <c r="M369" s="4" t="s">
        <v>565</v>
      </c>
      <c r="N369" s="4">
        <f t="shared" si="5"/>
        <v>4.79</v>
      </c>
      <c r="O369" s="4" t="s">
        <v>370</v>
      </c>
      <c r="P369" s="4">
        <f t="shared" si="6"/>
        <v>0.05</v>
      </c>
      <c r="Q369" s="4">
        <v>70.0</v>
      </c>
      <c r="R369" s="4">
        <v>21.0</v>
      </c>
      <c r="S369" s="4">
        <v>292.0</v>
      </c>
      <c r="T369" s="4">
        <v>1057.0</v>
      </c>
      <c r="U369" s="4">
        <v>2886.0</v>
      </c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4">
        <v>7.007744171E9</v>
      </c>
      <c r="B370" s="4">
        <v>42494.0</v>
      </c>
      <c r="C370" s="4">
        <v>12084.0</v>
      </c>
      <c r="D370" s="4" t="s">
        <v>566</v>
      </c>
      <c r="E370" s="4">
        <f t="shared" si="1"/>
        <v>9.14</v>
      </c>
      <c r="F370" s="4" t="s">
        <v>567</v>
      </c>
      <c r="G370" s="4">
        <f t="shared" si="2"/>
        <v>8.08</v>
      </c>
      <c r="H370" s="4" t="s">
        <v>568</v>
      </c>
      <c r="I370" s="4" t="s">
        <v>300</v>
      </c>
      <c r="J370" s="4">
        <f t="shared" si="3"/>
        <v>4.39</v>
      </c>
      <c r="K370" s="4" t="s">
        <v>24</v>
      </c>
      <c r="L370" s="4">
        <f t="shared" si="4"/>
        <v>0.46</v>
      </c>
      <c r="M370" s="4" t="s">
        <v>52</v>
      </c>
      <c r="N370" s="4">
        <f t="shared" si="5"/>
        <v>4.29</v>
      </c>
      <c r="O370" s="4">
        <v>0.0</v>
      </c>
      <c r="P370" s="4">
        <f t="shared" si="6"/>
        <v>0</v>
      </c>
      <c r="Q370" s="4">
        <v>50.0</v>
      </c>
      <c r="R370" s="4">
        <v>6.0</v>
      </c>
      <c r="S370" s="4">
        <v>284.0</v>
      </c>
      <c r="T370" s="4">
        <v>1030.0</v>
      </c>
      <c r="U370" s="4">
        <v>2676.0</v>
      </c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4">
        <v>7.007744171E9</v>
      </c>
      <c r="B371" s="4">
        <v>42525.0</v>
      </c>
      <c r="C371" s="4">
        <v>13513.0</v>
      </c>
      <c r="D371" s="4" t="s">
        <v>569</v>
      </c>
      <c r="E371" s="4">
        <f t="shared" si="1"/>
        <v>10.25</v>
      </c>
      <c r="F371" s="4" t="s">
        <v>570</v>
      </c>
      <c r="G371" s="4">
        <f t="shared" si="2"/>
        <v>9.07</v>
      </c>
      <c r="H371" s="4" t="s">
        <v>571</v>
      </c>
      <c r="I371" s="4" t="s">
        <v>453</v>
      </c>
      <c r="J371" s="4">
        <f t="shared" si="3"/>
        <v>5.35</v>
      </c>
      <c r="K371" s="4" t="s">
        <v>265</v>
      </c>
      <c r="L371" s="4">
        <f t="shared" si="4"/>
        <v>0.33</v>
      </c>
      <c r="M371" s="4" t="s">
        <v>572</v>
      </c>
      <c r="N371" s="4">
        <f t="shared" si="5"/>
        <v>4.56</v>
      </c>
      <c r="O371" s="4">
        <v>0.0</v>
      </c>
      <c r="P371" s="4">
        <f t="shared" si="6"/>
        <v>0</v>
      </c>
      <c r="Q371" s="4">
        <v>64.0</v>
      </c>
      <c r="R371" s="4">
        <v>8.0</v>
      </c>
      <c r="S371" s="4">
        <v>270.0</v>
      </c>
      <c r="T371" s="4">
        <v>1098.0</v>
      </c>
      <c r="U371" s="4">
        <v>2811.0</v>
      </c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4">
        <v>7.007744171E9</v>
      </c>
      <c r="B372" s="4">
        <v>42555.0</v>
      </c>
      <c r="C372" s="4">
        <v>14100.0</v>
      </c>
      <c r="D372" s="4" t="s">
        <v>573</v>
      </c>
      <c r="E372" s="4">
        <f t="shared" si="1"/>
        <v>10.58</v>
      </c>
      <c r="F372" s="4" t="s">
        <v>574</v>
      </c>
      <c r="G372" s="4">
        <f t="shared" si="2"/>
        <v>9.43</v>
      </c>
      <c r="H372" s="4" t="s">
        <v>575</v>
      </c>
      <c r="I372" s="4" t="s">
        <v>303</v>
      </c>
      <c r="J372" s="4">
        <f t="shared" si="3"/>
        <v>5.1</v>
      </c>
      <c r="K372" s="4" t="s">
        <v>576</v>
      </c>
      <c r="L372" s="4">
        <f t="shared" si="4"/>
        <v>1.19</v>
      </c>
      <c r="M372" s="4" t="s">
        <v>577</v>
      </c>
      <c r="N372" s="4">
        <f t="shared" si="5"/>
        <v>4.28</v>
      </c>
      <c r="O372" s="4">
        <v>0.0</v>
      </c>
      <c r="P372" s="4">
        <f t="shared" si="6"/>
        <v>0</v>
      </c>
      <c r="Q372" s="4">
        <v>61.0</v>
      </c>
      <c r="R372" s="4">
        <v>33.0</v>
      </c>
      <c r="S372" s="4">
        <v>265.0</v>
      </c>
      <c r="T372" s="4">
        <v>1015.0</v>
      </c>
      <c r="U372" s="4">
        <v>2840.0</v>
      </c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4">
        <v>7.007744171E9</v>
      </c>
      <c r="B373" s="4">
        <v>42586.0</v>
      </c>
      <c r="C373" s="4">
        <v>12627.0</v>
      </c>
      <c r="D373" s="4" t="s">
        <v>539</v>
      </c>
      <c r="E373" s="4">
        <f t="shared" si="1"/>
        <v>9.65</v>
      </c>
      <c r="F373" s="4" t="s">
        <v>578</v>
      </c>
      <c r="G373" s="4">
        <f t="shared" si="2"/>
        <v>8.45</v>
      </c>
      <c r="H373" s="4" t="s">
        <v>579</v>
      </c>
      <c r="I373" s="4" t="s">
        <v>580</v>
      </c>
      <c r="J373" s="4">
        <f t="shared" si="3"/>
        <v>4.7</v>
      </c>
      <c r="K373" s="4" t="s">
        <v>581</v>
      </c>
      <c r="L373" s="4">
        <f t="shared" si="4"/>
        <v>0.74</v>
      </c>
      <c r="M373" s="4" t="s">
        <v>582</v>
      </c>
      <c r="N373" s="4">
        <f t="shared" si="5"/>
        <v>4.21</v>
      </c>
      <c r="O373" s="4">
        <v>0.0</v>
      </c>
      <c r="P373" s="4">
        <f t="shared" si="6"/>
        <v>0</v>
      </c>
      <c r="Q373" s="4">
        <v>54.0</v>
      </c>
      <c r="R373" s="4">
        <v>22.0</v>
      </c>
      <c r="S373" s="4">
        <v>301.0</v>
      </c>
      <c r="T373" s="4">
        <v>1063.0</v>
      </c>
      <c r="U373" s="4">
        <v>2871.0</v>
      </c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4">
        <v>7.007744171E9</v>
      </c>
      <c r="B374" s="4">
        <v>42617.0</v>
      </c>
      <c r="C374" s="4">
        <v>10345.0</v>
      </c>
      <c r="D374" s="4" t="s">
        <v>28</v>
      </c>
      <c r="E374" s="4">
        <f t="shared" si="1"/>
        <v>6.92</v>
      </c>
      <c r="F374" s="4" t="s">
        <v>28</v>
      </c>
      <c r="G374" s="4">
        <f t="shared" si="2"/>
        <v>6.92</v>
      </c>
      <c r="H374" s="4">
        <v>0.0</v>
      </c>
      <c r="I374" s="4" t="s">
        <v>336</v>
      </c>
      <c r="J374" s="4">
        <f t="shared" si="3"/>
        <v>0.07</v>
      </c>
      <c r="K374" s="4" t="s">
        <v>109</v>
      </c>
      <c r="L374" s="4">
        <f t="shared" si="4"/>
        <v>0.27</v>
      </c>
      <c r="M374" s="4" t="s">
        <v>583</v>
      </c>
      <c r="N374" s="4">
        <f t="shared" si="5"/>
        <v>6.58</v>
      </c>
      <c r="O374" s="4">
        <v>0.0</v>
      </c>
      <c r="P374" s="4">
        <f t="shared" si="6"/>
        <v>0</v>
      </c>
      <c r="Q374" s="4">
        <v>2.0</v>
      </c>
      <c r="R374" s="4">
        <v>6.0</v>
      </c>
      <c r="S374" s="4">
        <v>358.0</v>
      </c>
      <c r="T374" s="4">
        <v>1074.0</v>
      </c>
      <c r="U374" s="4">
        <v>2613.0</v>
      </c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4">
        <v>7.007744171E9</v>
      </c>
      <c r="B375" s="4">
        <v>42647.0</v>
      </c>
      <c r="C375" s="4">
        <v>10146.0</v>
      </c>
      <c r="D375" s="4" t="s">
        <v>231</v>
      </c>
      <c r="E375" s="4">
        <f t="shared" si="1"/>
        <v>6.79</v>
      </c>
      <c r="F375" s="4" t="s">
        <v>231</v>
      </c>
      <c r="G375" s="4">
        <f t="shared" si="2"/>
        <v>6.79</v>
      </c>
      <c r="H375" s="4">
        <v>0.0</v>
      </c>
      <c r="I375" s="4" t="s">
        <v>336</v>
      </c>
      <c r="J375" s="4">
        <f t="shared" si="3"/>
        <v>0.07</v>
      </c>
      <c r="K375" s="4" t="s">
        <v>159</v>
      </c>
      <c r="L375" s="4">
        <f t="shared" si="4"/>
        <v>0.61</v>
      </c>
      <c r="M375" s="4" t="s">
        <v>584</v>
      </c>
      <c r="N375" s="4">
        <f t="shared" si="5"/>
        <v>6.11</v>
      </c>
      <c r="O375" s="4">
        <v>0.0</v>
      </c>
      <c r="P375" s="4">
        <f t="shared" si="6"/>
        <v>0</v>
      </c>
      <c r="Q375" s="4">
        <v>1.0</v>
      </c>
      <c r="R375" s="4">
        <v>12.0</v>
      </c>
      <c r="S375" s="4">
        <v>397.0</v>
      </c>
      <c r="T375" s="4">
        <v>1030.0</v>
      </c>
      <c r="U375" s="4">
        <v>2700.0</v>
      </c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4">
        <v>7.007744171E9</v>
      </c>
      <c r="B376" s="4">
        <v>42678.0</v>
      </c>
      <c r="C376" s="4">
        <v>12168.0</v>
      </c>
      <c r="D376" s="4" t="s">
        <v>532</v>
      </c>
      <c r="E376" s="4">
        <f t="shared" si="1"/>
        <v>8.14</v>
      </c>
      <c r="F376" s="4" t="s">
        <v>532</v>
      </c>
      <c r="G376" s="4">
        <f t="shared" si="2"/>
        <v>8.14</v>
      </c>
      <c r="H376" s="4">
        <v>0.0</v>
      </c>
      <c r="I376" s="4" t="s">
        <v>205</v>
      </c>
      <c r="J376" s="4">
        <f t="shared" si="3"/>
        <v>1.05</v>
      </c>
      <c r="K376" s="4" t="s">
        <v>39</v>
      </c>
      <c r="L376" s="4">
        <f t="shared" si="4"/>
        <v>0.79</v>
      </c>
      <c r="M376" s="4" t="s">
        <v>360</v>
      </c>
      <c r="N376" s="4">
        <f t="shared" si="5"/>
        <v>6.29</v>
      </c>
      <c r="O376" s="4">
        <v>0.0</v>
      </c>
      <c r="P376" s="4">
        <f t="shared" si="6"/>
        <v>0</v>
      </c>
      <c r="Q376" s="4">
        <v>18.0</v>
      </c>
      <c r="R376" s="4">
        <v>27.0</v>
      </c>
      <c r="S376" s="4">
        <v>375.0</v>
      </c>
      <c r="T376" s="4">
        <v>1020.0</v>
      </c>
      <c r="U376" s="4">
        <v>2871.0</v>
      </c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4">
        <v>7.007744171E9</v>
      </c>
      <c r="B377" s="4">
        <v>42708.0</v>
      </c>
      <c r="C377" s="4">
        <v>7413.0</v>
      </c>
      <c r="D377" s="4" t="s">
        <v>585</v>
      </c>
      <c r="E377" s="4">
        <f t="shared" si="1"/>
        <v>5.77</v>
      </c>
      <c r="F377" s="4" t="s">
        <v>547</v>
      </c>
      <c r="G377" s="4">
        <f t="shared" si="2"/>
        <v>4.96</v>
      </c>
      <c r="H377" s="4" t="s">
        <v>586</v>
      </c>
      <c r="I377" s="4">
        <v>45781.0</v>
      </c>
      <c r="J377" s="4">
        <f t="shared" si="3"/>
        <v>45781</v>
      </c>
      <c r="K377" s="4" t="s">
        <v>142</v>
      </c>
      <c r="L377" s="4">
        <f t="shared" si="4"/>
        <v>0.34</v>
      </c>
      <c r="M377" s="4" t="s">
        <v>334</v>
      </c>
      <c r="N377" s="4">
        <f t="shared" si="5"/>
        <v>0.94</v>
      </c>
      <c r="O377" s="4">
        <v>0.0</v>
      </c>
      <c r="P377" s="4">
        <f t="shared" si="6"/>
        <v>0</v>
      </c>
      <c r="Q377" s="4">
        <v>53.0</v>
      </c>
      <c r="R377" s="4">
        <v>6.0</v>
      </c>
      <c r="S377" s="4">
        <v>43.0</v>
      </c>
      <c r="T377" s="4">
        <v>405.0</v>
      </c>
      <c r="U377" s="4">
        <v>1023.0</v>
      </c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4">
        <v>7.086361926E9</v>
      </c>
      <c r="B378" s="4">
        <v>42373.0</v>
      </c>
      <c r="C378" s="4">
        <v>11463.0</v>
      </c>
      <c r="D378" s="4" t="s">
        <v>79</v>
      </c>
      <c r="E378" s="4">
        <f t="shared" si="1"/>
        <v>7.67</v>
      </c>
      <c r="F378" s="4" t="s">
        <v>79</v>
      </c>
      <c r="G378" s="4">
        <f t="shared" si="2"/>
        <v>7.67</v>
      </c>
      <c r="H378" s="4">
        <v>0.0</v>
      </c>
      <c r="I378" s="4" t="s">
        <v>587</v>
      </c>
      <c r="J378" s="4">
        <f t="shared" si="3"/>
        <v>2.83</v>
      </c>
      <c r="K378" s="4" t="s">
        <v>113</v>
      </c>
      <c r="L378" s="4">
        <f t="shared" si="4"/>
        <v>1.89</v>
      </c>
      <c r="M378" s="4" t="s">
        <v>108</v>
      </c>
      <c r="N378" s="4">
        <f t="shared" si="5"/>
        <v>2.93</v>
      </c>
      <c r="O378" s="4">
        <v>0.0</v>
      </c>
      <c r="P378" s="4">
        <f t="shared" si="6"/>
        <v>0</v>
      </c>
      <c r="Q378" s="4">
        <v>38.0</v>
      </c>
      <c r="R378" s="4">
        <v>30.0</v>
      </c>
      <c r="S378" s="4">
        <v>154.0</v>
      </c>
      <c r="T378" s="4">
        <v>777.0</v>
      </c>
      <c r="U378" s="4">
        <v>2496.0</v>
      </c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4">
        <v>7.086361926E9</v>
      </c>
      <c r="B379" s="4">
        <v>42404.0</v>
      </c>
      <c r="C379" s="4">
        <v>87.0</v>
      </c>
      <c r="D379" s="4" t="s">
        <v>179</v>
      </c>
      <c r="E379" s="4">
        <f t="shared" si="1"/>
        <v>0.02</v>
      </c>
      <c r="F379" s="4" t="s">
        <v>179</v>
      </c>
      <c r="G379" s="4">
        <f t="shared" si="2"/>
        <v>0.02</v>
      </c>
      <c r="H379" s="4">
        <v>0.0</v>
      </c>
      <c r="I379" s="4">
        <v>0.0</v>
      </c>
      <c r="J379" s="4">
        <f t="shared" si="3"/>
        <v>0</v>
      </c>
      <c r="K379" s="4">
        <v>0.0</v>
      </c>
      <c r="L379" s="4">
        <f t="shared" si="4"/>
        <v>0</v>
      </c>
      <c r="M379" s="4" t="s">
        <v>102</v>
      </c>
      <c r="N379" s="4">
        <f t="shared" si="5"/>
        <v>0.01</v>
      </c>
      <c r="O379" s="4">
        <v>0.0</v>
      </c>
      <c r="P379" s="4">
        <f t="shared" si="6"/>
        <v>0</v>
      </c>
      <c r="Q379" s="4">
        <v>0.0</v>
      </c>
      <c r="R379" s="4">
        <v>0.0</v>
      </c>
      <c r="S379" s="4">
        <v>2.0</v>
      </c>
      <c r="T379" s="4">
        <v>872.0</v>
      </c>
      <c r="U379" s="4">
        <v>1641.0</v>
      </c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4">
        <v>7.086361926E9</v>
      </c>
      <c r="B380" s="4">
        <v>42433.0</v>
      </c>
      <c r="C380" s="4">
        <v>1949.0</v>
      </c>
      <c r="D380" s="4" t="s">
        <v>154</v>
      </c>
      <c r="E380" s="4">
        <f t="shared" si="1"/>
        <v>1.31</v>
      </c>
      <c r="F380" s="4" t="s">
        <v>154</v>
      </c>
      <c r="G380" s="4">
        <f t="shared" si="2"/>
        <v>1.31</v>
      </c>
      <c r="H380" s="4">
        <v>0.0</v>
      </c>
      <c r="I380" s="4" t="s">
        <v>411</v>
      </c>
      <c r="J380" s="4">
        <f t="shared" si="3"/>
        <v>0.23</v>
      </c>
      <c r="K380" s="4" t="s">
        <v>256</v>
      </c>
      <c r="L380" s="4">
        <f t="shared" si="4"/>
        <v>0.35</v>
      </c>
      <c r="M380" s="4" t="s">
        <v>29</v>
      </c>
      <c r="N380" s="4">
        <f t="shared" si="5"/>
        <v>0.73</v>
      </c>
      <c r="O380" s="4">
        <v>0.0</v>
      </c>
      <c r="P380" s="4">
        <f t="shared" si="6"/>
        <v>0</v>
      </c>
      <c r="Q380" s="4">
        <v>3.0</v>
      </c>
      <c r="R380" s="4">
        <v>6.0</v>
      </c>
      <c r="S380" s="4">
        <v>27.0</v>
      </c>
      <c r="T380" s="4">
        <v>1404.0</v>
      </c>
      <c r="U380" s="4">
        <v>1794.0</v>
      </c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4">
        <v>7.086361926E9</v>
      </c>
      <c r="B381" s="4">
        <v>42464.0</v>
      </c>
      <c r="C381" s="4">
        <v>6101.0</v>
      </c>
      <c r="D381" s="4" t="s">
        <v>373</v>
      </c>
      <c r="E381" s="4">
        <f t="shared" si="1"/>
        <v>3.87</v>
      </c>
      <c r="F381" s="4" t="s">
        <v>373</v>
      </c>
      <c r="G381" s="4">
        <f t="shared" si="2"/>
        <v>3.87</v>
      </c>
      <c r="H381" s="4">
        <v>0.0</v>
      </c>
      <c r="I381" s="4" t="s">
        <v>103</v>
      </c>
      <c r="J381" s="4">
        <f t="shared" si="3"/>
        <v>0.53</v>
      </c>
      <c r="K381" s="4" t="s">
        <v>411</v>
      </c>
      <c r="L381" s="4">
        <f t="shared" si="4"/>
        <v>0.23</v>
      </c>
      <c r="M381" s="4" t="s">
        <v>377</v>
      </c>
      <c r="N381" s="4">
        <f t="shared" si="5"/>
        <v>3.1</v>
      </c>
      <c r="O381" s="4">
        <v>0.0</v>
      </c>
      <c r="P381" s="4">
        <f t="shared" si="6"/>
        <v>0</v>
      </c>
      <c r="Q381" s="4">
        <v>31.0</v>
      </c>
      <c r="R381" s="4">
        <v>24.0</v>
      </c>
      <c r="S381" s="4">
        <v>138.0</v>
      </c>
      <c r="T381" s="4">
        <v>1247.0</v>
      </c>
      <c r="U381" s="4">
        <v>2421.0</v>
      </c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4">
        <v>7.086361926E9</v>
      </c>
      <c r="B382" s="4">
        <v>42494.0</v>
      </c>
      <c r="C382" s="4">
        <v>7478.0</v>
      </c>
      <c r="D382" s="4" t="s">
        <v>588</v>
      </c>
      <c r="E382" s="4">
        <f t="shared" si="1"/>
        <v>4.99</v>
      </c>
      <c r="F382" s="4" t="s">
        <v>588</v>
      </c>
      <c r="G382" s="4">
        <f t="shared" si="2"/>
        <v>4.99</v>
      </c>
      <c r="H382" s="4">
        <v>0.0</v>
      </c>
      <c r="I382" s="4" t="s">
        <v>589</v>
      </c>
      <c r="J382" s="4">
        <f t="shared" si="3"/>
        <v>1.8</v>
      </c>
      <c r="K382" s="4" t="s">
        <v>103</v>
      </c>
      <c r="L382" s="4">
        <f t="shared" si="4"/>
        <v>0.53</v>
      </c>
      <c r="M382" s="4" t="s">
        <v>590</v>
      </c>
      <c r="N382" s="4">
        <f t="shared" si="5"/>
        <v>2.61</v>
      </c>
      <c r="O382" s="4" t="s">
        <v>121</v>
      </c>
      <c r="P382" s="4">
        <f t="shared" si="6"/>
        <v>0.03</v>
      </c>
      <c r="Q382" s="4">
        <v>25.0</v>
      </c>
      <c r="R382" s="4">
        <v>33.0</v>
      </c>
      <c r="S382" s="4">
        <v>132.0</v>
      </c>
      <c r="T382" s="4">
        <v>1159.0</v>
      </c>
      <c r="U382" s="4">
        <v>2439.0</v>
      </c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4">
        <v>7.086361926E9</v>
      </c>
      <c r="B383" s="4">
        <v>42525.0</v>
      </c>
      <c r="C383" s="4">
        <v>7352.0</v>
      </c>
      <c r="D383" s="4" t="s">
        <v>591</v>
      </c>
      <c r="E383" s="4">
        <f t="shared" si="1"/>
        <v>4.73</v>
      </c>
      <c r="F383" s="4" t="s">
        <v>591</v>
      </c>
      <c r="G383" s="4">
        <f t="shared" si="2"/>
        <v>4.73</v>
      </c>
      <c r="H383" s="4">
        <v>0.0</v>
      </c>
      <c r="I383" s="4" t="s">
        <v>230</v>
      </c>
      <c r="J383" s="4">
        <f t="shared" si="3"/>
        <v>1.41</v>
      </c>
      <c r="K383" s="4" t="s">
        <v>128</v>
      </c>
      <c r="L383" s="4">
        <f t="shared" si="4"/>
        <v>0.78</v>
      </c>
      <c r="M383" s="4" t="s">
        <v>434</v>
      </c>
      <c r="N383" s="4">
        <f t="shared" si="5"/>
        <v>2.53</v>
      </c>
      <c r="O383" s="4">
        <v>0.0</v>
      </c>
      <c r="P383" s="4">
        <f t="shared" si="6"/>
        <v>0</v>
      </c>
      <c r="Q383" s="4">
        <v>19.0</v>
      </c>
      <c r="R383" s="4">
        <v>14.0</v>
      </c>
      <c r="S383" s="4">
        <v>124.0</v>
      </c>
      <c r="T383" s="4">
        <v>814.0</v>
      </c>
      <c r="U383" s="4">
        <v>2233.0</v>
      </c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4">
        <v>7.086361926E9</v>
      </c>
      <c r="B384" s="4">
        <v>42555.0</v>
      </c>
      <c r="C384" s="4">
        <v>14604.0</v>
      </c>
      <c r="D384" s="4" t="s">
        <v>592</v>
      </c>
      <c r="E384" s="4">
        <f t="shared" si="1"/>
        <v>10.82</v>
      </c>
      <c r="F384" s="4" t="s">
        <v>592</v>
      </c>
      <c r="G384" s="4">
        <f t="shared" si="2"/>
        <v>10.82</v>
      </c>
      <c r="H384" s="4">
        <v>0.0</v>
      </c>
      <c r="I384" s="4" t="s">
        <v>593</v>
      </c>
      <c r="J384" s="4">
        <f t="shared" si="3"/>
        <v>7.23</v>
      </c>
      <c r="K384" s="4" t="s">
        <v>594</v>
      </c>
      <c r="L384" s="4">
        <f t="shared" si="4"/>
        <v>1.12</v>
      </c>
      <c r="M384" s="4" t="s">
        <v>530</v>
      </c>
      <c r="N384" s="4">
        <f t="shared" si="5"/>
        <v>2.43</v>
      </c>
      <c r="O384" s="4" t="s">
        <v>121</v>
      </c>
      <c r="P384" s="4">
        <f t="shared" si="6"/>
        <v>0.03</v>
      </c>
      <c r="Q384" s="4">
        <v>76.0</v>
      </c>
      <c r="R384" s="4">
        <v>30.0</v>
      </c>
      <c r="S384" s="4">
        <v>127.0</v>
      </c>
      <c r="T384" s="4">
        <v>695.0</v>
      </c>
      <c r="U384" s="4">
        <v>2862.0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4">
        <v>7.086361926E9</v>
      </c>
      <c r="B385" s="4">
        <v>42586.0</v>
      </c>
      <c r="C385" s="4">
        <v>9634.0</v>
      </c>
      <c r="D385" s="4" t="s">
        <v>595</v>
      </c>
      <c r="E385" s="4">
        <f t="shared" si="1"/>
        <v>6.52</v>
      </c>
      <c r="F385" s="4" t="s">
        <v>595</v>
      </c>
      <c r="G385" s="4">
        <f t="shared" si="2"/>
        <v>6.52</v>
      </c>
      <c r="H385" s="4">
        <v>0.0</v>
      </c>
      <c r="I385" s="4">
        <v>45779.0</v>
      </c>
      <c r="J385" s="4">
        <f t="shared" si="3"/>
        <v>45779</v>
      </c>
      <c r="K385" s="4" t="s">
        <v>596</v>
      </c>
      <c r="L385" s="4">
        <f t="shared" si="4"/>
        <v>1.4</v>
      </c>
      <c r="M385" s="4" t="s">
        <v>90</v>
      </c>
      <c r="N385" s="4">
        <f t="shared" si="5"/>
        <v>2.59</v>
      </c>
      <c r="O385" s="4">
        <v>0.0</v>
      </c>
      <c r="P385" s="4">
        <f t="shared" si="6"/>
        <v>0</v>
      </c>
      <c r="Q385" s="4">
        <v>50.0</v>
      </c>
      <c r="R385" s="4">
        <v>48.0</v>
      </c>
      <c r="S385" s="4">
        <v>140.0</v>
      </c>
      <c r="T385" s="4">
        <v>797.0</v>
      </c>
      <c r="U385" s="4">
        <v>2752.0</v>
      </c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4">
        <v>7.086361926E9</v>
      </c>
      <c r="B386" s="4">
        <v>42617.0</v>
      </c>
      <c r="C386" s="4">
        <v>7338.0</v>
      </c>
      <c r="D386" s="4" t="s">
        <v>452</v>
      </c>
      <c r="E386" s="4">
        <f t="shared" si="1"/>
        <v>4.67</v>
      </c>
      <c r="F386" s="4" t="s">
        <v>452</v>
      </c>
      <c r="G386" s="4">
        <f t="shared" si="2"/>
        <v>4.67</v>
      </c>
      <c r="H386" s="4">
        <v>0.0</v>
      </c>
      <c r="I386" s="4" t="s">
        <v>597</v>
      </c>
      <c r="J386" s="4">
        <f t="shared" si="3"/>
        <v>1.08</v>
      </c>
      <c r="K386" s="4" t="s">
        <v>99</v>
      </c>
      <c r="L386" s="4">
        <f t="shared" si="4"/>
        <v>0.13</v>
      </c>
      <c r="M386" s="4" t="s">
        <v>598</v>
      </c>
      <c r="N386" s="4">
        <f t="shared" si="5"/>
        <v>3.46</v>
      </c>
      <c r="O386" s="4">
        <v>0.0</v>
      </c>
      <c r="P386" s="4">
        <f t="shared" si="6"/>
        <v>0</v>
      </c>
      <c r="Q386" s="4">
        <v>27.0</v>
      </c>
      <c r="R386" s="4">
        <v>5.0</v>
      </c>
      <c r="S386" s="4">
        <v>204.0</v>
      </c>
      <c r="T386" s="4">
        <v>717.0</v>
      </c>
      <c r="U386" s="4">
        <v>2519.0</v>
      </c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4">
        <v>7.086361926E9</v>
      </c>
      <c r="B387" s="4">
        <v>42647.0</v>
      </c>
      <c r="C387" s="4">
        <v>569.0</v>
      </c>
      <c r="D387" s="4" t="s">
        <v>256</v>
      </c>
      <c r="E387" s="4">
        <f t="shared" si="1"/>
        <v>0.35</v>
      </c>
      <c r="F387" s="4" t="s">
        <v>256</v>
      </c>
      <c r="G387" s="4">
        <f t="shared" si="2"/>
        <v>0.35</v>
      </c>
      <c r="H387" s="4">
        <v>0.0</v>
      </c>
      <c r="I387" s="4">
        <v>0.0</v>
      </c>
      <c r="J387" s="4">
        <f t="shared" si="3"/>
        <v>0</v>
      </c>
      <c r="K387" s="4">
        <v>0.0</v>
      </c>
      <c r="L387" s="4">
        <f t="shared" si="4"/>
        <v>0</v>
      </c>
      <c r="M387" s="4" t="s">
        <v>142</v>
      </c>
      <c r="N387" s="4">
        <f t="shared" si="5"/>
        <v>0.34</v>
      </c>
      <c r="O387" s="4">
        <v>0.0</v>
      </c>
      <c r="P387" s="4">
        <f t="shared" si="6"/>
        <v>0</v>
      </c>
      <c r="Q387" s="4">
        <v>0.0</v>
      </c>
      <c r="R387" s="4">
        <v>0.0</v>
      </c>
      <c r="S387" s="4">
        <v>27.0</v>
      </c>
      <c r="T387" s="4">
        <v>1368.0</v>
      </c>
      <c r="U387" s="4">
        <v>1799.0</v>
      </c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4">
        <v>7.086361926E9</v>
      </c>
      <c r="B388" s="4">
        <v>42678.0</v>
      </c>
      <c r="C388" s="4">
        <v>6242.0</v>
      </c>
      <c r="D388" s="4" t="s">
        <v>170</v>
      </c>
      <c r="E388" s="4">
        <f t="shared" si="1"/>
        <v>3.92</v>
      </c>
      <c r="F388" s="4" t="s">
        <v>170</v>
      </c>
      <c r="G388" s="4">
        <f t="shared" si="2"/>
        <v>3.92</v>
      </c>
      <c r="H388" s="4">
        <v>0.0</v>
      </c>
      <c r="I388" s="4" t="s">
        <v>581</v>
      </c>
      <c r="J388" s="4">
        <f t="shared" si="3"/>
        <v>0.74</v>
      </c>
      <c r="K388" s="4" t="s">
        <v>411</v>
      </c>
      <c r="L388" s="4">
        <f t="shared" si="4"/>
        <v>0.23</v>
      </c>
      <c r="M388" s="4" t="s">
        <v>108</v>
      </c>
      <c r="N388" s="4">
        <f t="shared" si="5"/>
        <v>2.93</v>
      </c>
      <c r="O388" s="4">
        <v>0.0</v>
      </c>
      <c r="P388" s="4">
        <f t="shared" si="6"/>
        <v>0</v>
      </c>
      <c r="Q388" s="4">
        <v>46.0</v>
      </c>
      <c r="R388" s="4">
        <v>22.0</v>
      </c>
      <c r="S388" s="4">
        <v>126.0</v>
      </c>
      <c r="T388" s="4">
        <v>741.0</v>
      </c>
      <c r="U388" s="4">
        <v>2543.0</v>
      </c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4">
        <v>7.086361926E9</v>
      </c>
      <c r="B389" s="4">
        <v>42708.0</v>
      </c>
      <c r="C389" s="4">
        <v>430.0</v>
      </c>
      <c r="D389" s="4" t="s">
        <v>354</v>
      </c>
      <c r="E389" s="4">
        <f t="shared" si="1"/>
        <v>0.26</v>
      </c>
      <c r="F389" s="4" t="s">
        <v>354</v>
      </c>
      <c r="G389" s="4">
        <f t="shared" si="2"/>
        <v>0.26</v>
      </c>
      <c r="H389" s="4">
        <v>0.0</v>
      </c>
      <c r="I389" s="4">
        <v>0.0</v>
      </c>
      <c r="J389" s="4">
        <f t="shared" si="3"/>
        <v>0</v>
      </c>
      <c r="K389" s="4">
        <v>0.0</v>
      </c>
      <c r="L389" s="4">
        <f t="shared" si="4"/>
        <v>0</v>
      </c>
      <c r="M389" s="4" t="s">
        <v>354</v>
      </c>
      <c r="N389" s="4">
        <f t="shared" si="5"/>
        <v>0.26</v>
      </c>
      <c r="O389" s="4">
        <v>0.0</v>
      </c>
      <c r="P389" s="4">
        <f t="shared" si="6"/>
        <v>0</v>
      </c>
      <c r="Q389" s="4">
        <v>0.0</v>
      </c>
      <c r="R389" s="4">
        <v>0.0</v>
      </c>
      <c r="S389" s="4">
        <v>14.0</v>
      </c>
      <c r="T389" s="4">
        <v>75.0</v>
      </c>
      <c r="U389" s="4">
        <v>625.0</v>
      </c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4">
        <v>8.053475328E9</v>
      </c>
      <c r="B390" s="4">
        <v>42404.0</v>
      </c>
      <c r="C390" s="4">
        <v>20188.0</v>
      </c>
      <c r="D390" s="4" t="s">
        <v>599</v>
      </c>
      <c r="E390" s="4">
        <f t="shared" si="1"/>
        <v>15.62</v>
      </c>
      <c r="F390" s="4" t="s">
        <v>599</v>
      </c>
      <c r="G390" s="4">
        <f t="shared" si="2"/>
        <v>15.62</v>
      </c>
      <c r="H390" s="4">
        <v>0.0</v>
      </c>
      <c r="I390" s="4" t="s">
        <v>600</v>
      </c>
      <c r="J390" s="4">
        <f t="shared" si="3"/>
        <v>12.06</v>
      </c>
      <c r="K390" s="4" t="s">
        <v>417</v>
      </c>
      <c r="L390" s="4">
        <f t="shared" si="4"/>
        <v>0.85</v>
      </c>
      <c r="M390" s="4" t="s">
        <v>601</v>
      </c>
      <c r="N390" s="4">
        <f t="shared" si="5"/>
        <v>2.71</v>
      </c>
      <c r="O390" s="4">
        <v>0.0</v>
      </c>
      <c r="P390" s="4">
        <f t="shared" si="6"/>
        <v>0</v>
      </c>
      <c r="Q390" s="4">
        <v>124.0</v>
      </c>
      <c r="R390" s="4">
        <v>19.0</v>
      </c>
      <c r="S390" s="4">
        <v>172.0</v>
      </c>
      <c r="T390" s="4">
        <v>1125.0</v>
      </c>
      <c r="U390" s="4">
        <v>3377.0</v>
      </c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4">
        <v>8.053475328E9</v>
      </c>
      <c r="B391" s="4">
        <v>42433.0</v>
      </c>
      <c r="C391" s="4">
        <v>25701.0</v>
      </c>
      <c r="D391" s="4" t="s">
        <v>602</v>
      </c>
      <c r="E391" s="4">
        <f t="shared" si="1"/>
        <v>20.14</v>
      </c>
      <c r="F391" s="4" t="s">
        <v>602</v>
      </c>
      <c r="G391" s="4">
        <f t="shared" si="2"/>
        <v>20.14</v>
      </c>
      <c r="H391" s="4">
        <v>0.0</v>
      </c>
      <c r="I391" s="4" t="s">
        <v>603</v>
      </c>
      <c r="J391" s="4">
        <f t="shared" si="3"/>
        <v>16.82</v>
      </c>
      <c r="K391" s="4" t="s">
        <v>172</v>
      </c>
      <c r="L391" s="4">
        <f t="shared" si="4"/>
        <v>1.63</v>
      </c>
      <c r="M391" s="4" t="s">
        <v>604</v>
      </c>
      <c r="N391" s="4">
        <f t="shared" si="5"/>
        <v>1.69</v>
      </c>
      <c r="O391" s="4">
        <v>0.0</v>
      </c>
      <c r="P391" s="4">
        <f t="shared" si="6"/>
        <v>0</v>
      </c>
      <c r="Q391" s="4">
        <v>165.0</v>
      </c>
      <c r="R391" s="4">
        <v>36.0</v>
      </c>
      <c r="S391" s="4">
        <v>97.0</v>
      </c>
      <c r="T391" s="4">
        <v>1142.0</v>
      </c>
      <c r="U391" s="4">
        <v>3697.0</v>
      </c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4">
        <v>8.053475328E9</v>
      </c>
      <c r="B392" s="4">
        <v>42464.0</v>
      </c>
      <c r="C392" s="4">
        <v>17395.0</v>
      </c>
      <c r="D392" s="4" t="s">
        <v>605</v>
      </c>
      <c r="E392" s="4">
        <f t="shared" si="1"/>
        <v>13.21</v>
      </c>
      <c r="F392" s="4" t="s">
        <v>605</v>
      </c>
      <c r="G392" s="4">
        <f t="shared" si="2"/>
        <v>13.21</v>
      </c>
      <c r="H392" s="4">
        <v>0.0</v>
      </c>
      <c r="I392" s="4" t="s">
        <v>606</v>
      </c>
      <c r="J392" s="4">
        <f t="shared" si="3"/>
        <v>9.67</v>
      </c>
      <c r="K392" s="4" t="s">
        <v>312</v>
      </c>
      <c r="L392" s="4">
        <f t="shared" si="4"/>
        <v>0.18</v>
      </c>
      <c r="M392" s="4" t="s">
        <v>607</v>
      </c>
      <c r="N392" s="4">
        <f t="shared" si="5"/>
        <v>3.35</v>
      </c>
      <c r="O392" s="4">
        <v>0.0</v>
      </c>
      <c r="P392" s="4">
        <f t="shared" si="6"/>
        <v>0</v>
      </c>
      <c r="Q392" s="4">
        <v>100.0</v>
      </c>
      <c r="R392" s="4">
        <v>4.0</v>
      </c>
      <c r="S392" s="4">
        <v>213.0</v>
      </c>
      <c r="T392" s="4">
        <v>1123.0</v>
      </c>
      <c r="U392" s="4">
        <v>3209.0</v>
      </c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4">
        <v>8.053475328E9</v>
      </c>
      <c r="B393" s="4">
        <v>42494.0</v>
      </c>
      <c r="C393" s="4">
        <v>17167.0</v>
      </c>
      <c r="D393" s="4" t="s">
        <v>608</v>
      </c>
      <c r="E393" s="4">
        <f t="shared" si="1"/>
        <v>13.41</v>
      </c>
      <c r="F393" s="4" t="s">
        <v>608</v>
      </c>
      <c r="G393" s="4">
        <f t="shared" si="2"/>
        <v>13.41</v>
      </c>
      <c r="H393" s="4">
        <v>0.0</v>
      </c>
      <c r="I393" s="4" t="s">
        <v>609</v>
      </c>
      <c r="J393" s="4">
        <f t="shared" si="3"/>
        <v>9.96</v>
      </c>
      <c r="K393" s="4" t="s">
        <v>138</v>
      </c>
      <c r="L393" s="4">
        <f t="shared" si="4"/>
        <v>0.31</v>
      </c>
      <c r="M393" s="4" t="s">
        <v>521</v>
      </c>
      <c r="N393" s="4">
        <f t="shared" si="5"/>
        <v>3.14</v>
      </c>
      <c r="O393" s="4">
        <v>0.0</v>
      </c>
      <c r="P393" s="4">
        <f t="shared" si="6"/>
        <v>0</v>
      </c>
      <c r="Q393" s="4">
        <v>98.0</v>
      </c>
      <c r="R393" s="4">
        <v>8.0</v>
      </c>
      <c r="S393" s="4">
        <v>184.0</v>
      </c>
      <c r="T393" s="4">
        <v>1150.0</v>
      </c>
      <c r="U393" s="4">
        <v>3167.0</v>
      </c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4">
        <v>8.053475328E9</v>
      </c>
      <c r="B394" s="4">
        <v>42525.0</v>
      </c>
      <c r="C394" s="4">
        <v>16435.0</v>
      </c>
      <c r="D394" s="4" t="s">
        <v>610</v>
      </c>
      <c r="E394" s="4">
        <f t="shared" si="1"/>
        <v>12.42</v>
      </c>
      <c r="F394" s="4" t="s">
        <v>610</v>
      </c>
      <c r="G394" s="4">
        <f t="shared" si="2"/>
        <v>12.42</v>
      </c>
      <c r="H394" s="4">
        <v>0.0</v>
      </c>
      <c r="I394" s="4" t="s">
        <v>611</v>
      </c>
      <c r="J394" s="4">
        <f t="shared" si="3"/>
        <v>8.96</v>
      </c>
      <c r="K394" s="4" t="s">
        <v>399</v>
      </c>
      <c r="L394" s="4">
        <f t="shared" si="4"/>
        <v>0.55</v>
      </c>
      <c r="M394" s="4" t="s">
        <v>612</v>
      </c>
      <c r="N394" s="4">
        <f t="shared" si="5"/>
        <v>2.91</v>
      </c>
      <c r="O394" s="4">
        <v>0.0</v>
      </c>
      <c r="P394" s="4">
        <f t="shared" si="6"/>
        <v>0</v>
      </c>
      <c r="Q394" s="4">
        <v>100.0</v>
      </c>
      <c r="R394" s="4">
        <v>14.0</v>
      </c>
      <c r="S394" s="4">
        <v>191.0</v>
      </c>
      <c r="T394" s="4">
        <v>1135.0</v>
      </c>
      <c r="U394" s="4">
        <v>3122.0</v>
      </c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4">
        <v>8.053475328E9</v>
      </c>
      <c r="B395" s="4">
        <v>42555.0</v>
      </c>
      <c r="C395" s="4">
        <v>17078.0</v>
      </c>
      <c r="D395" s="4" t="s">
        <v>613</v>
      </c>
      <c r="E395" s="4">
        <f t="shared" si="1"/>
        <v>13.2</v>
      </c>
      <c r="F395" s="4" t="s">
        <v>613</v>
      </c>
      <c r="G395" s="4">
        <f t="shared" si="2"/>
        <v>13.2</v>
      </c>
      <c r="H395" s="4">
        <v>0.0</v>
      </c>
      <c r="I395" s="4" t="s">
        <v>614</v>
      </c>
      <c r="J395" s="4">
        <f t="shared" si="3"/>
        <v>9.97</v>
      </c>
      <c r="K395" s="4" t="s">
        <v>394</v>
      </c>
      <c r="L395" s="4">
        <f t="shared" si="4"/>
        <v>0.24</v>
      </c>
      <c r="M395" s="4" t="s">
        <v>168</v>
      </c>
      <c r="N395" s="4">
        <f t="shared" si="5"/>
        <v>2.99</v>
      </c>
      <c r="O395" s="4">
        <v>0.0</v>
      </c>
      <c r="P395" s="4">
        <f t="shared" si="6"/>
        <v>0</v>
      </c>
      <c r="Q395" s="4">
        <v>101.0</v>
      </c>
      <c r="R395" s="4">
        <v>6.0</v>
      </c>
      <c r="S395" s="4">
        <v>190.0</v>
      </c>
      <c r="T395" s="4">
        <v>1143.0</v>
      </c>
      <c r="U395" s="4">
        <v>3176.0</v>
      </c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4">
        <v>8.053475328E9</v>
      </c>
      <c r="B396" s="4">
        <v>42586.0</v>
      </c>
      <c r="C396" s="4">
        <v>11693.0</v>
      </c>
      <c r="D396" s="4" t="s">
        <v>615</v>
      </c>
      <c r="E396" s="4">
        <f t="shared" si="1"/>
        <v>9.54</v>
      </c>
      <c r="F396" s="4" t="s">
        <v>615</v>
      </c>
      <c r="G396" s="4">
        <f t="shared" si="2"/>
        <v>9.54</v>
      </c>
      <c r="H396" s="4">
        <v>0.0</v>
      </c>
      <c r="I396" s="4" t="s">
        <v>616</v>
      </c>
      <c r="J396" s="4">
        <f t="shared" si="3"/>
        <v>6.77</v>
      </c>
      <c r="K396" s="4" t="s">
        <v>354</v>
      </c>
      <c r="L396" s="4">
        <f t="shared" si="4"/>
        <v>0.26</v>
      </c>
      <c r="M396" s="4">
        <v>45779.0</v>
      </c>
      <c r="N396" s="4">
        <f t="shared" si="5"/>
        <v>45779</v>
      </c>
      <c r="O396" s="4">
        <v>0.0</v>
      </c>
      <c r="P396" s="4">
        <f t="shared" si="6"/>
        <v>0</v>
      </c>
      <c r="Q396" s="4">
        <v>60.0</v>
      </c>
      <c r="R396" s="4">
        <v>6.0</v>
      </c>
      <c r="S396" s="4">
        <v>153.0</v>
      </c>
      <c r="T396" s="4">
        <v>1221.0</v>
      </c>
      <c r="U396" s="4">
        <v>2790.0</v>
      </c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4">
        <v>8.053475328E9</v>
      </c>
      <c r="B397" s="4">
        <v>42617.0</v>
      </c>
      <c r="C397" s="4">
        <v>11159.0</v>
      </c>
      <c r="D397" s="4" t="s">
        <v>566</v>
      </c>
      <c r="E397" s="4">
        <f t="shared" si="1"/>
        <v>9.14</v>
      </c>
      <c r="F397" s="4" t="s">
        <v>566</v>
      </c>
      <c r="G397" s="4">
        <f t="shared" si="2"/>
        <v>9.14</v>
      </c>
      <c r="H397" s="4">
        <v>0.0</v>
      </c>
      <c r="I397" s="4" t="s">
        <v>617</v>
      </c>
      <c r="J397" s="4">
        <f t="shared" si="3"/>
        <v>6.69</v>
      </c>
      <c r="K397" s="4" t="s">
        <v>124</v>
      </c>
      <c r="L397" s="4">
        <f t="shared" si="4"/>
        <v>0.25</v>
      </c>
      <c r="M397" s="4" t="s">
        <v>429</v>
      </c>
      <c r="N397" s="4">
        <f t="shared" si="5"/>
        <v>2.19</v>
      </c>
      <c r="O397" s="4">
        <v>0.0</v>
      </c>
      <c r="P397" s="4">
        <f t="shared" si="6"/>
        <v>0</v>
      </c>
      <c r="Q397" s="4">
        <v>59.0</v>
      </c>
      <c r="R397" s="4">
        <v>6.0</v>
      </c>
      <c r="S397" s="4">
        <v>120.0</v>
      </c>
      <c r="T397" s="4">
        <v>1255.0</v>
      </c>
      <c r="U397" s="4">
        <v>2715.0</v>
      </c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4">
        <v>8.053475328E9</v>
      </c>
      <c r="B398" s="4">
        <v>42647.0</v>
      </c>
      <c r="C398" s="4">
        <v>10118.0</v>
      </c>
      <c r="D398" s="4" t="s">
        <v>618</v>
      </c>
      <c r="E398" s="4">
        <f t="shared" si="1"/>
        <v>7.73</v>
      </c>
      <c r="F398" s="4" t="s">
        <v>618</v>
      </c>
      <c r="G398" s="4">
        <f t="shared" si="2"/>
        <v>7.73</v>
      </c>
      <c r="H398" s="4">
        <v>0.0</v>
      </c>
      <c r="I398" s="4" t="s">
        <v>619</v>
      </c>
      <c r="J398" s="4">
        <f t="shared" si="3"/>
        <v>3.05</v>
      </c>
      <c r="K398" s="4" t="s">
        <v>271</v>
      </c>
      <c r="L398" s="4">
        <f t="shared" si="4"/>
        <v>0.8</v>
      </c>
      <c r="M398" s="4" t="s">
        <v>620</v>
      </c>
      <c r="N398" s="4">
        <f t="shared" si="5"/>
        <v>3.88</v>
      </c>
      <c r="O398" s="4">
        <v>0.0</v>
      </c>
      <c r="P398" s="4">
        <f t="shared" si="6"/>
        <v>0</v>
      </c>
      <c r="Q398" s="4">
        <v>30.0</v>
      </c>
      <c r="R398" s="4">
        <v>18.0</v>
      </c>
      <c r="S398" s="4">
        <v>207.0</v>
      </c>
      <c r="T398" s="4">
        <v>1185.0</v>
      </c>
      <c r="U398" s="4">
        <v>2684.0</v>
      </c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4">
        <v>8.053475328E9</v>
      </c>
      <c r="B399" s="4">
        <v>42678.0</v>
      </c>
      <c r="C399" s="4">
        <v>16064.0</v>
      </c>
      <c r="D399" s="4" t="s">
        <v>621</v>
      </c>
      <c r="E399" s="4">
        <f t="shared" si="1"/>
        <v>12.72</v>
      </c>
      <c r="F399" s="4" t="s">
        <v>621</v>
      </c>
      <c r="G399" s="4">
        <f t="shared" si="2"/>
        <v>12.72</v>
      </c>
      <c r="H399" s="4">
        <v>0.0</v>
      </c>
      <c r="I399" s="4" t="s">
        <v>622</v>
      </c>
      <c r="J399" s="4">
        <f t="shared" si="3"/>
        <v>9.98</v>
      </c>
      <c r="K399" s="4" t="s">
        <v>174</v>
      </c>
      <c r="L399" s="4">
        <f t="shared" si="4"/>
        <v>0.36</v>
      </c>
      <c r="M399" s="4" t="s">
        <v>535</v>
      </c>
      <c r="N399" s="4">
        <f t="shared" si="5"/>
        <v>2.38</v>
      </c>
      <c r="O399" s="4">
        <v>0.0</v>
      </c>
      <c r="P399" s="4">
        <f t="shared" si="6"/>
        <v>0</v>
      </c>
      <c r="Q399" s="4">
        <v>96.0</v>
      </c>
      <c r="R399" s="4">
        <v>8.0</v>
      </c>
      <c r="S399" s="4">
        <v>155.0</v>
      </c>
      <c r="T399" s="4">
        <v>1181.0</v>
      </c>
      <c r="U399" s="4">
        <v>3097.0</v>
      </c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4">
        <v>8.053475328E9</v>
      </c>
      <c r="B400" s="4">
        <v>42708.0</v>
      </c>
      <c r="C400" s="4">
        <v>290.0</v>
      </c>
      <c r="D400" s="4" t="s">
        <v>149</v>
      </c>
      <c r="E400" s="4">
        <f t="shared" si="1"/>
        <v>0.21</v>
      </c>
      <c r="F400" s="4" t="s">
        <v>149</v>
      </c>
      <c r="G400" s="4">
        <f t="shared" si="2"/>
        <v>0.21</v>
      </c>
      <c r="H400" s="4">
        <v>0.0</v>
      </c>
      <c r="I400" s="4">
        <v>0.0</v>
      </c>
      <c r="J400" s="4">
        <f t="shared" si="3"/>
        <v>0</v>
      </c>
      <c r="K400" s="4">
        <v>0.0</v>
      </c>
      <c r="L400" s="4">
        <f t="shared" si="4"/>
        <v>0</v>
      </c>
      <c r="M400" s="4" t="s">
        <v>149</v>
      </c>
      <c r="N400" s="4">
        <f t="shared" si="5"/>
        <v>0.21</v>
      </c>
      <c r="O400" s="4">
        <v>0.0</v>
      </c>
      <c r="P400" s="4">
        <f t="shared" si="6"/>
        <v>0</v>
      </c>
      <c r="Q400" s="4">
        <v>0.0</v>
      </c>
      <c r="R400" s="4">
        <v>0.0</v>
      </c>
      <c r="S400" s="4">
        <v>16.0</v>
      </c>
      <c r="T400" s="4">
        <v>599.0</v>
      </c>
      <c r="U400" s="4">
        <v>791.0</v>
      </c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4">
        <v>8.253242879E9</v>
      </c>
      <c r="B401" s="4">
        <v>42373.0</v>
      </c>
      <c r="C401" s="4">
        <v>0.0</v>
      </c>
      <c r="D401" s="4">
        <v>0.0</v>
      </c>
      <c r="E401" s="4">
        <f t="shared" si="1"/>
        <v>0</v>
      </c>
      <c r="F401" s="4">
        <v>0.0</v>
      </c>
      <c r="G401" s="4">
        <f t="shared" si="2"/>
        <v>0</v>
      </c>
      <c r="H401" s="4">
        <v>0.0</v>
      </c>
      <c r="I401" s="4">
        <v>0.0</v>
      </c>
      <c r="J401" s="4">
        <f t="shared" si="3"/>
        <v>0</v>
      </c>
      <c r="K401" s="4">
        <v>0.0</v>
      </c>
      <c r="L401" s="4">
        <f t="shared" si="4"/>
        <v>0</v>
      </c>
      <c r="M401" s="4">
        <v>0.0</v>
      </c>
      <c r="N401" s="4">
        <f t="shared" si="5"/>
        <v>0</v>
      </c>
      <c r="O401" s="4">
        <v>0.0</v>
      </c>
      <c r="P401" s="4">
        <f t="shared" si="6"/>
        <v>0</v>
      </c>
      <c r="Q401" s="4">
        <v>0.0</v>
      </c>
      <c r="R401" s="4">
        <v>0.0</v>
      </c>
      <c r="S401" s="4">
        <v>0.0</v>
      </c>
      <c r="T401" s="4">
        <v>1440.0</v>
      </c>
      <c r="U401" s="4">
        <v>1429.0</v>
      </c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4">
        <v>8.253242879E9</v>
      </c>
      <c r="B402" s="4">
        <v>42404.0</v>
      </c>
      <c r="C402" s="4">
        <v>0.0</v>
      </c>
      <c r="D402" s="4">
        <v>0.0</v>
      </c>
      <c r="E402" s="4">
        <f t="shared" si="1"/>
        <v>0</v>
      </c>
      <c r="F402" s="4">
        <v>0.0</v>
      </c>
      <c r="G402" s="4">
        <f t="shared" si="2"/>
        <v>0</v>
      </c>
      <c r="H402" s="4">
        <v>0.0</v>
      </c>
      <c r="I402" s="4">
        <v>0.0</v>
      </c>
      <c r="J402" s="4">
        <f t="shared" si="3"/>
        <v>0</v>
      </c>
      <c r="K402" s="4">
        <v>0.0</v>
      </c>
      <c r="L402" s="4">
        <f t="shared" si="4"/>
        <v>0</v>
      </c>
      <c r="M402" s="4">
        <v>0.0</v>
      </c>
      <c r="N402" s="4">
        <f t="shared" si="5"/>
        <v>0</v>
      </c>
      <c r="O402" s="4">
        <v>0.0</v>
      </c>
      <c r="P402" s="4">
        <f t="shared" si="6"/>
        <v>0</v>
      </c>
      <c r="Q402" s="4">
        <v>0.0</v>
      </c>
      <c r="R402" s="4">
        <v>0.0</v>
      </c>
      <c r="S402" s="4">
        <v>0.0</v>
      </c>
      <c r="T402" s="4">
        <v>1440.0</v>
      </c>
      <c r="U402" s="4">
        <v>1429.0</v>
      </c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4">
        <v>8.253242879E9</v>
      </c>
      <c r="B403" s="4">
        <v>42433.0</v>
      </c>
      <c r="C403" s="4">
        <v>0.0</v>
      </c>
      <c r="D403" s="4">
        <v>0.0</v>
      </c>
      <c r="E403" s="4">
        <f t="shared" si="1"/>
        <v>0</v>
      </c>
      <c r="F403" s="4">
        <v>0.0</v>
      </c>
      <c r="G403" s="4">
        <f t="shared" si="2"/>
        <v>0</v>
      </c>
      <c r="H403" s="4">
        <v>0.0</v>
      </c>
      <c r="I403" s="4">
        <v>0.0</v>
      </c>
      <c r="J403" s="4">
        <f t="shared" si="3"/>
        <v>0</v>
      </c>
      <c r="K403" s="4">
        <v>0.0</v>
      </c>
      <c r="L403" s="4">
        <f t="shared" si="4"/>
        <v>0</v>
      </c>
      <c r="M403" s="4">
        <v>0.0</v>
      </c>
      <c r="N403" s="4">
        <f t="shared" si="5"/>
        <v>0</v>
      </c>
      <c r="O403" s="4">
        <v>0.0</v>
      </c>
      <c r="P403" s="4">
        <f t="shared" si="6"/>
        <v>0</v>
      </c>
      <c r="Q403" s="4">
        <v>0.0</v>
      </c>
      <c r="R403" s="4">
        <v>0.0</v>
      </c>
      <c r="S403" s="4">
        <v>0.0</v>
      </c>
      <c r="T403" s="4">
        <v>1440.0</v>
      </c>
      <c r="U403" s="4">
        <v>1429.0</v>
      </c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4">
        <v>8.253242879E9</v>
      </c>
      <c r="B404" s="4">
        <v>42464.0</v>
      </c>
      <c r="C404" s="4">
        <v>0.0</v>
      </c>
      <c r="D404" s="4">
        <v>0.0</v>
      </c>
      <c r="E404" s="4">
        <f t="shared" si="1"/>
        <v>0</v>
      </c>
      <c r="F404" s="4">
        <v>0.0</v>
      </c>
      <c r="G404" s="4">
        <f t="shared" si="2"/>
        <v>0</v>
      </c>
      <c r="H404" s="4">
        <v>0.0</v>
      </c>
      <c r="I404" s="4">
        <v>0.0</v>
      </c>
      <c r="J404" s="4">
        <f t="shared" si="3"/>
        <v>0</v>
      </c>
      <c r="K404" s="4">
        <v>0.0</v>
      </c>
      <c r="L404" s="4">
        <f t="shared" si="4"/>
        <v>0</v>
      </c>
      <c r="M404" s="4">
        <v>0.0</v>
      </c>
      <c r="N404" s="4">
        <f t="shared" si="5"/>
        <v>0</v>
      </c>
      <c r="O404" s="4">
        <v>0.0</v>
      </c>
      <c r="P404" s="4">
        <f t="shared" si="6"/>
        <v>0</v>
      </c>
      <c r="Q404" s="4">
        <v>0.0</v>
      </c>
      <c r="R404" s="4">
        <v>0.0</v>
      </c>
      <c r="S404" s="4">
        <v>0.0</v>
      </c>
      <c r="T404" s="4">
        <v>1440.0</v>
      </c>
      <c r="U404" s="4">
        <v>1429.0</v>
      </c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4">
        <v>8.253242879E9</v>
      </c>
      <c r="B405" s="4">
        <v>42494.0</v>
      </c>
      <c r="C405" s="4">
        <v>0.0</v>
      </c>
      <c r="D405" s="4">
        <v>0.0</v>
      </c>
      <c r="E405" s="4">
        <f t="shared" si="1"/>
        <v>0</v>
      </c>
      <c r="F405" s="4">
        <v>0.0</v>
      </c>
      <c r="G405" s="4">
        <f t="shared" si="2"/>
        <v>0</v>
      </c>
      <c r="H405" s="4">
        <v>0.0</v>
      </c>
      <c r="I405" s="4">
        <v>0.0</v>
      </c>
      <c r="J405" s="4">
        <f t="shared" si="3"/>
        <v>0</v>
      </c>
      <c r="K405" s="4">
        <v>0.0</v>
      </c>
      <c r="L405" s="4">
        <f t="shared" si="4"/>
        <v>0</v>
      </c>
      <c r="M405" s="4">
        <v>0.0</v>
      </c>
      <c r="N405" s="4">
        <f t="shared" si="5"/>
        <v>0</v>
      </c>
      <c r="O405" s="4">
        <v>0.0</v>
      </c>
      <c r="P405" s="4">
        <f t="shared" si="6"/>
        <v>0</v>
      </c>
      <c r="Q405" s="4">
        <v>0.0</v>
      </c>
      <c r="R405" s="4">
        <v>0.0</v>
      </c>
      <c r="S405" s="4">
        <v>0.0</v>
      </c>
      <c r="T405" s="4">
        <v>1440.0</v>
      </c>
      <c r="U405" s="4">
        <v>1429.0</v>
      </c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4">
        <v>8.253242879E9</v>
      </c>
      <c r="B406" s="4">
        <v>42525.0</v>
      </c>
      <c r="C406" s="4">
        <v>1931.0</v>
      </c>
      <c r="D406" s="4" t="s">
        <v>69</v>
      </c>
      <c r="E406" s="4">
        <f t="shared" si="1"/>
        <v>1.28</v>
      </c>
      <c r="F406" s="4" t="s">
        <v>69</v>
      </c>
      <c r="G406" s="4">
        <f t="shared" si="2"/>
        <v>1.28</v>
      </c>
      <c r="H406" s="4">
        <v>0.0</v>
      </c>
      <c r="I406" s="4">
        <v>0.0</v>
      </c>
      <c r="J406" s="4">
        <f t="shared" si="3"/>
        <v>0</v>
      </c>
      <c r="K406" s="4">
        <v>0.0</v>
      </c>
      <c r="L406" s="4">
        <f t="shared" si="4"/>
        <v>0</v>
      </c>
      <c r="M406" s="4" t="s">
        <v>69</v>
      </c>
      <c r="N406" s="4">
        <f t="shared" si="5"/>
        <v>1.28</v>
      </c>
      <c r="O406" s="4">
        <v>0.0</v>
      </c>
      <c r="P406" s="4">
        <f t="shared" si="6"/>
        <v>0</v>
      </c>
      <c r="Q406" s="4">
        <v>0.0</v>
      </c>
      <c r="R406" s="4">
        <v>0.0</v>
      </c>
      <c r="S406" s="4">
        <v>94.0</v>
      </c>
      <c r="T406" s="4">
        <v>1346.0</v>
      </c>
      <c r="U406" s="4">
        <v>1607.0</v>
      </c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4">
        <v>8.253242879E9</v>
      </c>
      <c r="B407" s="4">
        <v>42555.0</v>
      </c>
      <c r="C407" s="4">
        <v>5181.0</v>
      </c>
      <c r="D407" s="4" t="s">
        <v>623</v>
      </c>
      <c r="E407" s="4">
        <f t="shared" si="1"/>
        <v>3.42</v>
      </c>
      <c r="F407" s="4" t="s">
        <v>623</v>
      </c>
      <c r="G407" s="4">
        <f t="shared" si="2"/>
        <v>3.42</v>
      </c>
      <c r="H407" s="4">
        <v>0.0</v>
      </c>
      <c r="I407" s="4">
        <v>1.0</v>
      </c>
      <c r="J407" s="4">
        <f t="shared" si="3"/>
        <v>1</v>
      </c>
      <c r="K407" s="4" t="s">
        <v>68</v>
      </c>
      <c r="L407" s="4">
        <f t="shared" si="4"/>
        <v>0.91</v>
      </c>
      <c r="M407" s="4" t="s">
        <v>369</v>
      </c>
      <c r="N407" s="4">
        <f t="shared" si="5"/>
        <v>1.51</v>
      </c>
      <c r="O407" s="4" t="s">
        <v>102</v>
      </c>
      <c r="P407" s="4">
        <f t="shared" si="6"/>
        <v>0.01</v>
      </c>
      <c r="Q407" s="4">
        <v>15.0</v>
      </c>
      <c r="R407" s="4">
        <v>15.0</v>
      </c>
      <c r="S407" s="4">
        <v>107.0</v>
      </c>
      <c r="T407" s="4">
        <v>1303.0</v>
      </c>
      <c r="U407" s="4">
        <v>1776.0</v>
      </c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4">
        <v>8.253242879E9</v>
      </c>
      <c r="B408" s="4">
        <v>42586.0</v>
      </c>
      <c r="C408" s="4">
        <v>12026.0</v>
      </c>
      <c r="D408" s="4" t="s">
        <v>624</v>
      </c>
      <c r="E408" s="4">
        <f t="shared" si="1"/>
        <v>9.15</v>
      </c>
      <c r="F408" s="4" t="s">
        <v>624</v>
      </c>
      <c r="G408" s="4">
        <f t="shared" si="2"/>
        <v>9.15</v>
      </c>
      <c r="H408" s="4">
        <v>0.0</v>
      </c>
      <c r="I408" s="4" t="s">
        <v>151</v>
      </c>
      <c r="J408" s="4">
        <f t="shared" si="3"/>
        <v>5.7</v>
      </c>
      <c r="K408" s="4" t="s">
        <v>625</v>
      </c>
      <c r="L408" s="4">
        <f t="shared" si="4"/>
        <v>0.93</v>
      </c>
      <c r="M408" s="4" t="s">
        <v>407</v>
      </c>
      <c r="N408" s="4">
        <f t="shared" si="5"/>
        <v>2.51</v>
      </c>
      <c r="O408" s="4">
        <v>0.0</v>
      </c>
      <c r="P408" s="4">
        <f t="shared" si="6"/>
        <v>0</v>
      </c>
      <c r="Q408" s="4">
        <v>47.0</v>
      </c>
      <c r="R408" s="4">
        <v>13.0</v>
      </c>
      <c r="S408" s="4">
        <v>150.0</v>
      </c>
      <c r="T408" s="4">
        <v>1230.0</v>
      </c>
      <c r="U408" s="4">
        <v>2162.0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4">
        <v>8.253242879E9</v>
      </c>
      <c r="B409" s="4">
        <v>42617.0</v>
      </c>
      <c r="C409" s="4">
        <v>5360.0</v>
      </c>
      <c r="D409" s="4" t="s">
        <v>626</v>
      </c>
      <c r="E409" s="4">
        <f t="shared" si="1"/>
        <v>3.54</v>
      </c>
      <c r="F409" s="4" t="s">
        <v>626</v>
      </c>
      <c r="G409" s="4">
        <f t="shared" si="2"/>
        <v>3.54</v>
      </c>
      <c r="H409" s="4">
        <v>0.0</v>
      </c>
      <c r="I409" s="4" t="s">
        <v>406</v>
      </c>
      <c r="J409" s="4">
        <f t="shared" si="3"/>
        <v>0.54</v>
      </c>
      <c r="K409" s="4" t="s">
        <v>173</v>
      </c>
      <c r="L409" s="4">
        <f t="shared" si="4"/>
        <v>1.55</v>
      </c>
      <c r="M409" s="4" t="s">
        <v>177</v>
      </c>
      <c r="N409" s="4">
        <f t="shared" si="5"/>
        <v>1.46</v>
      </c>
      <c r="O409" s="4">
        <v>0.0</v>
      </c>
      <c r="P409" s="4">
        <f t="shared" si="6"/>
        <v>0</v>
      </c>
      <c r="Q409" s="4">
        <v>8.0</v>
      </c>
      <c r="R409" s="4">
        <v>28.0</v>
      </c>
      <c r="S409" s="4">
        <v>148.0</v>
      </c>
      <c r="T409" s="4">
        <v>1256.0</v>
      </c>
      <c r="U409" s="4">
        <v>1832.0</v>
      </c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4">
        <v>8.253242879E9</v>
      </c>
      <c r="B410" s="4">
        <v>42647.0</v>
      </c>
      <c r="C410" s="4">
        <v>2545.0</v>
      </c>
      <c r="D410" s="4" t="s">
        <v>294</v>
      </c>
      <c r="E410" s="4">
        <f t="shared" si="1"/>
        <v>1.68</v>
      </c>
      <c r="F410" s="4" t="s">
        <v>294</v>
      </c>
      <c r="G410" s="4">
        <f t="shared" si="2"/>
        <v>1.68</v>
      </c>
      <c r="H410" s="4">
        <v>0.0</v>
      </c>
      <c r="I410" s="4">
        <v>0.0</v>
      </c>
      <c r="J410" s="4">
        <f t="shared" si="3"/>
        <v>0</v>
      </c>
      <c r="K410" s="4">
        <v>0.0</v>
      </c>
      <c r="L410" s="4">
        <f t="shared" si="4"/>
        <v>0</v>
      </c>
      <c r="M410" s="4" t="s">
        <v>627</v>
      </c>
      <c r="N410" s="4">
        <f t="shared" si="5"/>
        <v>1.67</v>
      </c>
      <c r="O410" s="4" t="s">
        <v>179</v>
      </c>
      <c r="P410" s="4">
        <f t="shared" si="6"/>
        <v>0.02</v>
      </c>
      <c r="Q410" s="4">
        <v>0.0</v>
      </c>
      <c r="R410" s="4">
        <v>0.0</v>
      </c>
      <c r="S410" s="4">
        <v>126.0</v>
      </c>
      <c r="T410" s="4">
        <v>1314.0</v>
      </c>
      <c r="U410" s="4">
        <v>1657.0</v>
      </c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4">
        <v>8.253242879E9</v>
      </c>
      <c r="B411" s="4">
        <v>42678.0</v>
      </c>
      <c r="C411" s="4">
        <v>1636.0</v>
      </c>
      <c r="D411" s="4" t="s">
        <v>597</v>
      </c>
      <c r="E411" s="4">
        <f t="shared" si="1"/>
        <v>1.08</v>
      </c>
      <c r="F411" s="4" t="s">
        <v>597</v>
      </c>
      <c r="G411" s="4">
        <f t="shared" si="2"/>
        <v>1.08</v>
      </c>
      <c r="H411" s="4">
        <v>0.0</v>
      </c>
      <c r="I411" s="4">
        <v>0.0</v>
      </c>
      <c r="J411" s="4">
        <f t="shared" si="3"/>
        <v>0</v>
      </c>
      <c r="K411" s="4">
        <v>0.0</v>
      </c>
      <c r="L411" s="4">
        <f t="shared" si="4"/>
        <v>0</v>
      </c>
      <c r="M411" s="4" t="s">
        <v>597</v>
      </c>
      <c r="N411" s="4">
        <f t="shared" si="5"/>
        <v>1.08</v>
      </c>
      <c r="O411" s="4">
        <v>0.0</v>
      </c>
      <c r="P411" s="4">
        <f t="shared" si="6"/>
        <v>0</v>
      </c>
      <c r="Q411" s="4">
        <v>0.0</v>
      </c>
      <c r="R411" s="4">
        <v>0.0</v>
      </c>
      <c r="S411" s="4">
        <v>86.0</v>
      </c>
      <c r="T411" s="4">
        <v>1139.0</v>
      </c>
      <c r="U411" s="4">
        <v>1377.0</v>
      </c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4">
        <v>8.253242879E9</v>
      </c>
      <c r="B412" s="4">
        <v>42708.0</v>
      </c>
      <c r="C412" s="4">
        <v>0.0</v>
      </c>
      <c r="D412" s="4">
        <v>0.0</v>
      </c>
      <c r="E412" s="4">
        <f t="shared" si="1"/>
        <v>0</v>
      </c>
      <c r="F412" s="4">
        <v>0.0</v>
      </c>
      <c r="G412" s="4">
        <f t="shared" si="2"/>
        <v>0</v>
      </c>
      <c r="H412" s="4">
        <v>0.0</v>
      </c>
      <c r="I412" s="4">
        <v>0.0</v>
      </c>
      <c r="J412" s="4">
        <f t="shared" si="3"/>
        <v>0</v>
      </c>
      <c r="K412" s="4">
        <v>0.0</v>
      </c>
      <c r="L412" s="4">
        <f t="shared" si="4"/>
        <v>0</v>
      </c>
      <c r="M412" s="4">
        <v>0.0</v>
      </c>
      <c r="N412" s="4">
        <f t="shared" si="5"/>
        <v>0</v>
      </c>
      <c r="O412" s="4">
        <v>0.0</v>
      </c>
      <c r="P412" s="4">
        <f t="shared" si="6"/>
        <v>0</v>
      </c>
      <c r="Q412" s="4">
        <v>0.0</v>
      </c>
      <c r="R412" s="4">
        <v>0.0</v>
      </c>
      <c r="S412" s="4">
        <v>0.0</v>
      </c>
      <c r="T412" s="4">
        <v>1440.0</v>
      </c>
      <c r="U412" s="4">
        <v>0.0</v>
      </c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4">
        <v>8.3785632E9</v>
      </c>
      <c r="B413" s="4">
        <v>42373.0</v>
      </c>
      <c r="C413" s="4">
        <v>14179.0</v>
      </c>
      <c r="D413" s="4" t="s">
        <v>559</v>
      </c>
      <c r="E413" s="4">
        <f t="shared" si="1"/>
        <v>11.24</v>
      </c>
      <c r="F413" s="4" t="s">
        <v>559</v>
      </c>
      <c r="G413" s="4">
        <f t="shared" si="2"/>
        <v>11.24</v>
      </c>
      <c r="H413" s="4">
        <v>0.0</v>
      </c>
      <c r="I413" s="4" t="s">
        <v>257</v>
      </c>
      <c r="J413" s="4">
        <f t="shared" si="3"/>
        <v>6.23</v>
      </c>
      <c r="K413" s="4" t="s">
        <v>628</v>
      </c>
      <c r="L413" s="4">
        <f t="shared" si="4"/>
        <v>1.06</v>
      </c>
      <c r="M413" s="4" t="s">
        <v>339</v>
      </c>
      <c r="N413" s="4">
        <f t="shared" si="5"/>
        <v>3.96</v>
      </c>
      <c r="O413" s="4">
        <v>0.0</v>
      </c>
      <c r="P413" s="4">
        <f t="shared" si="6"/>
        <v>0</v>
      </c>
      <c r="Q413" s="4">
        <v>73.0</v>
      </c>
      <c r="R413" s="4">
        <v>21.0</v>
      </c>
      <c r="S413" s="4">
        <v>195.0</v>
      </c>
      <c r="T413" s="4">
        <v>719.0</v>
      </c>
      <c r="U413" s="4">
        <v>3669.0</v>
      </c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4">
        <v>8.3785632E9</v>
      </c>
      <c r="B414" s="4">
        <v>42404.0</v>
      </c>
      <c r="C414" s="4">
        <v>3358.0</v>
      </c>
      <c r="D414" s="4" t="s">
        <v>629</v>
      </c>
      <c r="E414" s="4">
        <f t="shared" si="1"/>
        <v>2.66</v>
      </c>
      <c r="F414" s="4" t="s">
        <v>629</v>
      </c>
      <c r="G414" s="4">
        <f t="shared" si="2"/>
        <v>2.66</v>
      </c>
      <c r="H414" s="4">
        <v>0.0</v>
      </c>
      <c r="I414" s="4">
        <v>0.0</v>
      </c>
      <c r="J414" s="4">
        <f t="shared" si="3"/>
        <v>0</v>
      </c>
      <c r="K414" s="4">
        <v>0.0</v>
      </c>
      <c r="L414" s="4">
        <f t="shared" si="4"/>
        <v>0</v>
      </c>
      <c r="M414" s="4" t="s">
        <v>629</v>
      </c>
      <c r="N414" s="4">
        <f t="shared" si="5"/>
        <v>2.66</v>
      </c>
      <c r="O414" s="4">
        <v>0.0</v>
      </c>
      <c r="P414" s="4">
        <f t="shared" si="6"/>
        <v>0</v>
      </c>
      <c r="Q414" s="4">
        <v>0.0</v>
      </c>
      <c r="R414" s="4">
        <v>0.0</v>
      </c>
      <c r="S414" s="4">
        <v>144.0</v>
      </c>
      <c r="T414" s="4">
        <v>657.0</v>
      </c>
      <c r="U414" s="4">
        <v>2702.0</v>
      </c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4">
        <v>8.3785632E9</v>
      </c>
      <c r="B415" s="4">
        <v>42433.0</v>
      </c>
      <c r="C415" s="4">
        <v>9152.0</v>
      </c>
      <c r="D415" s="4" t="s">
        <v>95</v>
      </c>
      <c r="E415" s="4">
        <f t="shared" si="1"/>
        <v>7.26</v>
      </c>
      <c r="F415" s="4" t="s">
        <v>95</v>
      </c>
      <c r="G415" s="4">
        <f t="shared" si="2"/>
        <v>7.26</v>
      </c>
      <c r="H415" s="4">
        <v>0.0</v>
      </c>
      <c r="I415" s="4" t="s">
        <v>310</v>
      </c>
      <c r="J415" s="4">
        <f t="shared" si="3"/>
        <v>1.99</v>
      </c>
      <c r="K415" s="4" t="s">
        <v>450</v>
      </c>
      <c r="L415" s="4">
        <f t="shared" si="4"/>
        <v>0.82</v>
      </c>
      <c r="M415" s="4" t="s">
        <v>85</v>
      </c>
      <c r="N415" s="4">
        <f t="shared" si="5"/>
        <v>4.45</v>
      </c>
      <c r="O415" s="4">
        <v>0.0</v>
      </c>
      <c r="P415" s="4">
        <f t="shared" si="6"/>
        <v>0</v>
      </c>
      <c r="Q415" s="4">
        <v>25.0</v>
      </c>
      <c r="R415" s="4">
        <v>13.0</v>
      </c>
      <c r="S415" s="4">
        <v>243.0</v>
      </c>
      <c r="T415" s="4">
        <v>600.0</v>
      </c>
      <c r="U415" s="4">
        <v>3304.0</v>
      </c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4">
        <v>8.3785632E9</v>
      </c>
      <c r="B416" s="4">
        <v>42464.0</v>
      </c>
      <c r="C416" s="4">
        <v>13935.0</v>
      </c>
      <c r="D416" s="4" t="s">
        <v>630</v>
      </c>
      <c r="E416" s="4">
        <f t="shared" si="1"/>
        <v>11.05</v>
      </c>
      <c r="F416" s="4" t="s">
        <v>630</v>
      </c>
      <c r="G416" s="4">
        <f t="shared" si="2"/>
        <v>11.05</v>
      </c>
      <c r="H416" s="4" t="s">
        <v>631</v>
      </c>
      <c r="I416" s="4" t="s">
        <v>356</v>
      </c>
      <c r="J416" s="4">
        <f t="shared" si="3"/>
        <v>4.09</v>
      </c>
      <c r="K416" s="4" t="s">
        <v>39</v>
      </c>
      <c r="L416" s="4">
        <f t="shared" si="4"/>
        <v>0.79</v>
      </c>
      <c r="M416" s="4" t="s">
        <v>632</v>
      </c>
      <c r="N416" s="4">
        <f t="shared" si="5"/>
        <v>6.17</v>
      </c>
      <c r="O416" s="4">
        <v>0.0</v>
      </c>
      <c r="P416" s="4">
        <f t="shared" si="6"/>
        <v>0</v>
      </c>
      <c r="Q416" s="4">
        <v>105.0</v>
      </c>
      <c r="R416" s="4">
        <v>16.0</v>
      </c>
      <c r="S416" s="4">
        <v>220.0</v>
      </c>
      <c r="T416" s="4">
        <v>658.0</v>
      </c>
      <c r="U416" s="4">
        <v>4234.0</v>
      </c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4">
        <v>8.3785632E9</v>
      </c>
      <c r="B417" s="4">
        <v>42494.0</v>
      </c>
      <c r="C417" s="4">
        <v>12846.0</v>
      </c>
      <c r="D417" s="4" t="s">
        <v>633</v>
      </c>
      <c r="E417" s="4">
        <f t="shared" si="1"/>
        <v>10.19</v>
      </c>
      <c r="F417" s="4" t="s">
        <v>633</v>
      </c>
      <c r="G417" s="4">
        <f t="shared" si="2"/>
        <v>10.19</v>
      </c>
      <c r="H417" s="4" t="s">
        <v>634</v>
      </c>
      <c r="I417" s="4">
        <v>5.0</v>
      </c>
      <c r="J417" s="4">
        <f t="shared" si="3"/>
        <v>5</v>
      </c>
      <c r="K417" s="4" t="s">
        <v>635</v>
      </c>
      <c r="L417" s="4">
        <f t="shared" si="4"/>
        <v>0.75</v>
      </c>
      <c r="M417" s="4" t="s">
        <v>328</v>
      </c>
      <c r="N417" s="4">
        <f t="shared" si="5"/>
        <v>4.44</v>
      </c>
      <c r="O417" s="4">
        <v>0.0</v>
      </c>
      <c r="P417" s="4">
        <f t="shared" si="6"/>
        <v>0</v>
      </c>
      <c r="Q417" s="4">
        <v>113.0</v>
      </c>
      <c r="R417" s="4">
        <v>15.0</v>
      </c>
      <c r="S417" s="4">
        <v>189.0</v>
      </c>
      <c r="T417" s="4">
        <v>686.0</v>
      </c>
      <c r="U417" s="4">
        <v>4128.0</v>
      </c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4">
        <v>8.3785632E9</v>
      </c>
      <c r="B418" s="4">
        <v>42525.0</v>
      </c>
      <c r="C418" s="4">
        <v>9124.0</v>
      </c>
      <c r="D418" s="4" t="s">
        <v>636</v>
      </c>
      <c r="E418" s="4">
        <f t="shared" si="1"/>
        <v>7.24</v>
      </c>
      <c r="F418" s="4" t="s">
        <v>636</v>
      </c>
      <c r="G418" s="4">
        <f t="shared" si="2"/>
        <v>7.24</v>
      </c>
      <c r="H418" s="4" t="s">
        <v>631</v>
      </c>
      <c r="I418" s="4">
        <v>0.0</v>
      </c>
      <c r="J418" s="4">
        <f t="shared" si="3"/>
        <v>0</v>
      </c>
      <c r="K418" s="4" t="s">
        <v>124</v>
      </c>
      <c r="L418" s="4">
        <f t="shared" si="4"/>
        <v>0.25</v>
      </c>
      <c r="M418" s="4" t="s">
        <v>637</v>
      </c>
      <c r="N418" s="4">
        <f t="shared" si="5"/>
        <v>6.99</v>
      </c>
      <c r="O418" s="4">
        <v>0.0</v>
      </c>
      <c r="P418" s="4">
        <f t="shared" si="6"/>
        <v>0</v>
      </c>
      <c r="Q418" s="4">
        <v>55.0</v>
      </c>
      <c r="R418" s="4">
        <v>6.0</v>
      </c>
      <c r="S418" s="4">
        <v>230.0</v>
      </c>
      <c r="T418" s="4">
        <v>728.0</v>
      </c>
      <c r="U418" s="4">
        <v>3798.0</v>
      </c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4">
        <v>8.3785632E9</v>
      </c>
      <c r="B419" s="4">
        <v>42555.0</v>
      </c>
      <c r="C419" s="4">
        <v>9725.0</v>
      </c>
      <c r="D419" s="4" t="s">
        <v>638</v>
      </c>
      <c r="E419" s="4">
        <f t="shared" si="1"/>
        <v>7.71</v>
      </c>
      <c r="F419" s="4" t="s">
        <v>638</v>
      </c>
      <c r="G419" s="4">
        <f t="shared" si="2"/>
        <v>7.71</v>
      </c>
      <c r="H419" s="4" t="s">
        <v>634</v>
      </c>
      <c r="I419" s="4" t="s">
        <v>150</v>
      </c>
      <c r="J419" s="4">
        <f t="shared" si="3"/>
        <v>2.41</v>
      </c>
      <c r="K419" s="4" t="s">
        <v>103</v>
      </c>
      <c r="L419" s="4">
        <f t="shared" si="4"/>
        <v>0.53</v>
      </c>
      <c r="M419" s="4" t="s">
        <v>639</v>
      </c>
      <c r="N419" s="4">
        <f t="shared" si="5"/>
        <v>4.77</v>
      </c>
      <c r="O419" s="4">
        <v>0.0</v>
      </c>
      <c r="P419" s="4">
        <f t="shared" si="6"/>
        <v>0</v>
      </c>
      <c r="Q419" s="4">
        <v>83.0</v>
      </c>
      <c r="R419" s="4">
        <v>11.0</v>
      </c>
      <c r="S419" s="4">
        <v>181.0</v>
      </c>
      <c r="T419" s="4">
        <v>670.0</v>
      </c>
      <c r="U419" s="4">
        <v>3839.0</v>
      </c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4">
        <v>8.3785632E9</v>
      </c>
      <c r="B420" s="4">
        <v>42586.0</v>
      </c>
      <c r="C420" s="4">
        <v>8350.0</v>
      </c>
      <c r="D420" s="4" t="s">
        <v>640</v>
      </c>
      <c r="E420" s="4">
        <f t="shared" si="1"/>
        <v>6.62</v>
      </c>
      <c r="F420" s="4" t="s">
        <v>640</v>
      </c>
      <c r="G420" s="4">
        <f t="shared" si="2"/>
        <v>6.62</v>
      </c>
      <c r="H420" s="4" t="s">
        <v>631</v>
      </c>
      <c r="I420" s="4" t="s">
        <v>268</v>
      </c>
      <c r="J420" s="4">
        <f t="shared" si="3"/>
        <v>1.49</v>
      </c>
      <c r="K420" s="4" t="s">
        <v>103</v>
      </c>
      <c r="L420" s="4">
        <f t="shared" si="4"/>
        <v>0.53</v>
      </c>
      <c r="M420" s="4" t="s">
        <v>46</v>
      </c>
      <c r="N420" s="4">
        <f t="shared" si="5"/>
        <v>4.61</v>
      </c>
      <c r="O420" s="4">
        <v>0.0</v>
      </c>
      <c r="P420" s="4">
        <f t="shared" si="6"/>
        <v>0</v>
      </c>
      <c r="Q420" s="4">
        <v>72.0</v>
      </c>
      <c r="R420" s="4">
        <v>10.0</v>
      </c>
      <c r="S420" s="4">
        <v>167.0</v>
      </c>
      <c r="T420" s="4">
        <v>868.0</v>
      </c>
      <c r="U420" s="4">
        <v>3713.0</v>
      </c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4">
        <v>8.3785632E9</v>
      </c>
      <c r="B421" s="4">
        <v>42617.0</v>
      </c>
      <c r="C421" s="4">
        <v>2240.0</v>
      </c>
      <c r="D421" s="4" t="s">
        <v>641</v>
      </c>
      <c r="E421" s="4">
        <f t="shared" si="1"/>
        <v>1.78</v>
      </c>
      <c r="F421" s="4" t="s">
        <v>641</v>
      </c>
      <c r="G421" s="4">
        <f t="shared" si="2"/>
        <v>1.78</v>
      </c>
      <c r="H421" s="4">
        <v>0.0</v>
      </c>
      <c r="I421" s="4">
        <v>0.0</v>
      </c>
      <c r="J421" s="4">
        <f t="shared" si="3"/>
        <v>0</v>
      </c>
      <c r="K421" s="4">
        <v>0.0</v>
      </c>
      <c r="L421" s="4">
        <f t="shared" si="4"/>
        <v>0</v>
      </c>
      <c r="M421" s="4" t="s">
        <v>641</v>
      </c>
      <c r="N421" s="4">
        <f t="shared" si="5"/>
        <v>1.78</v>
      </c>
      <c r="O421" s="4">
        <v>0.0</v>
      </c>
      <c r="P421" s="4">
        <f t="shared" si="6"/>
        <v>0</v>
      </c>
      <c r="Q421" s="4">
        <v>0.0</v>
      </c>
      <c r="R421" s="4">
        <v>0.0</v>
      </c>
      <c r="S421" s="4">
        <v>110.0</v>
      </c>
      <c r="T421" s="4">
        <v>843.0</v>
      </c>
      <c r="U421" s="4">
        <v>2606.0</v>
      </c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4">
        <v>8.3785632E9</v>
      </c>
      <c r="B422" s="4">
        <v>42647.0</v>
      </c>
      <c r="C422" s="4">
        <v>2631.0</v>
      </c>
      <c r="D422" s="4" t="s">
        <v>395</v>
      </c>
      <c r="E422" s="4">
        <f t="shared" si="1"/>
        <v>2.09</v>
      </c>
      <c r="F422" s="4" t="s">
        <v>395</v>
      </c>
      <c r="G422" s="4">
        <f t="shared" si="2"/>
        <v>2.09</v>
      </c>
      <c r="H422" s="4">
        <v>0.0</v>
      </c>
      <c r="I422" s="4">
        <v>0.0</v>
      </c>
      <c r="J422" s="4">
        <f t="shared" si="3"/>
        <v>0</v>
      </c>
      <c r="K422" s="4">
        <v>0.0</v>
      </c>
      <c r="L422" s="4">
        <f t="shared" si="4"/>
        <v>0</v>
      </c>
      <c r="M422" s="4" t="s">
        <v>395</v>
      </c>
      <c r="N422" s="4">
        <f t="shared" si="5"/>
        <v>2.09</v>
      </c>
      <c r="O422" s="4">
        <v>0.0</v>
      </c>
      <c r="P422" s="4">
        <f t="shared" si="6"/>
        <v>0</v>
      </c>
      <c r="Q422" s="4">
        <v>0.0</v>
      </c>
      <c r="R422" s="4">
        <v>0.0</v>
      </c>
      <c r="S422" s="4">
        <v>117.0</v>
      </c>
      <c r="T422" s="4">
        <v>727.0</v>
      </c>
      <c r="U422" s="4">
        <v>2624.0</v>
      </c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4">
        <v>8.3785632E9</v>
      </c>
      <c r="B423" s="4">
        <v>42678.0</v>
      </c>
      <c r="C423" s="4">
        <v>8837.0</v>
      </c>
      <c r="D423" s="4" t="s">
        <v>642</v>
      </c>
      <c r="E423" s="4">
        <f t="shared" si="1"/>
        <v>7.01</v>
      </c>
      <c r="F423" s="4" t="s">
        <v>642</v>
      </c>
      <c r="G423" s="4">
        <f t="shared" si="2"/>
        <v>7.01</v>
      </c>
      <c r="H423" s="4" t="s">
        <v>631</v>
      </c>
      <c r="I423" s="4" t="s">
        <v>643</v>
      </c>
      <c r="J423" s="4">
        <f t="shared" si="3"/>
        <v>1.54</v>
      </c>
      <c r="K423" s="4" t="s">
        <v>644</v>
      </c>
      <c r="L423" s="4">
        <f t="shared" si="4"/>
        <v>0.88</v>
      </c>
      <c r="M423" s="4" t="s">
        <v>645</v>
      </c>
      <c r="N423" s="4">
        <f t="shared" si="5"/>
        <v>4.59</v>
      </c>
      <c r="O423" s="4">
        <v>0.0</v>
      </c>
      <c r="P423" s="4">
        <f t="shared" si="6"/>
        <v>0</v>
      </c>
      <c r="Q423" s="4">
        <v>74.0</v>
      </c>
      <c r="R423" s="4">
        <v>17.0</v>
      </c>
      <c r="S423" s="4">
        <v>182.0</v>
      </c>
      <c r="T423" s="4">
        <v>811.0</v>
      </c>
      <c r="U423" s="4">
        <v>3775.0</v>
      </c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4">
        <v>8.3785632E9</v>
      </c>
      <c r="B424" s="4">
        <v>42708.0</v>
      </c>
      <c r="C424" s="4">
        <v>3246.0</v>
      </c>
      <c r="D424" s="4" t="s">
        <v>23</v>
      </c>
      <c r="E424" s="4">
        <f t="shared" si="1"/>
        <v>2.57</v>
      </c>
      <c r="F424" s="4" t="s">
        <v>23</v>
      </c>
      <c r="G424" s="4">
        <f t="shared" si="2"/>
        <v>2.57</v>
      </c>
      <c r="H424" s="4" t="s">
        <v>634</v>
      </c>
      <c r="I424" s="4" t="s">
        <v>61</v>
      </c>
      <c r="J424" s="4">
        <f t="shared" si="3"/>
        <v>0.83</v>
      </c>
      <c r="K424" s="4" t="s">
        <v>646</v>
      </c>
      <c r="L424" s="4">
        <f t="shared" si="4"/>
        <v>0.71</v>
      </c>
      <c r="M424" s="4" t="s">
        <v>317</v>
      </c>
      <c r="N424" s="4">
        <f t="shared" si="5"/>
        <v>1.03</v>
      </c>
      <c r="O424" s="4">
        <v>0.0</v>
      </c>
      <c r="P424" s="4">
        <f t="shared" si="6"/>
        <v>0</v>
      </c>
      <c r="Q424" s="4">
        <v>65.0</v>
      </c>
      <c r="R424" s="4">
        <v>15.0</v>
      </c>
      <c r="S424" s="4">
        <v>49.0</v>
      </c>
      <c r="T424" s="4">
        <v>243.0</v>
      </c>
      <c r="U424" s="4">
        <v>1882.0</v>
      </c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4">
        <v>8.583815059E9</v>
      </c>
      <c r="B425" s="4">
        <v>42373.0</v>
      </c>
      <c r="C425" s="4">
        <v>2174.0</v>
      </c>
      <c r="D425" s="4" t="s">
        <v>479</v>
      </c>
      <c r="E425" s="4">
        <f t="shared" si="1"/>
        <v>1.7</v>
      </c>
      <c r="F425" s="4" t="s">
        <v>479</v>
      </c>
      <c r="G425" s="4">
        <f t="shared" si="2"/>
        <v>1.7</v>
      </c>
      <c r="H425" s="4">
        <v>0.0</v>
      </c>
      <c r="I425" s="4">
        <v>0.0</v>
      </c>
      <c r="J425" s="4">
        <f t="shared" si="3"/>
        <v>0</v>
      </c>
      <c r="K425" s="4">
        <v>0.0</v>
      </c>
      <c r="L425" s="4">
        <f t="shared" si="4"/>
        <v>0</v>
      </c>
      <c r="M425" s="4" t="s">
        <v>479</v>
      </c>
      <c r="N425" s="4">
        <f t="shared" si="5"/>
        <v>1.7</v>
      </c>
      <c r="O425" s="4">
        <v>0.0</v>
      </c>
      <c r="P425" s="4">
        <f t="shared" si="6"/>
        <v>0</v>
      </c>
      <c r="Q425" s="4">
        <v>0.0</v>
      </c>
      <c r="R425" s="4">
        <v>0.0</v>
      </c>
      <c r="S425" s="4">
        <v>112.0</v>
      </c>
      <c r="T425" s="4">
        <v>1328.0</v>
      </c>
      <c r="U425" s="4">
        <v>2360.0</v>
      </c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4">
        <v>8.583815059E9</v>
      </c>
      <c r="B426" s="4">
        <v>42404.0</v>
      </c>
      <c r="C426" s="4">
        <v>3494.0</v>
      </c>
      <c r="D426" s="4" t="s">
        <v>553</v>
      </c>
      <c r="E426" s="4">
        <f t="shared" si="1"/>
        <v>2.73</v>
      </c>
      <c r="F426" s="4" t="s">
        <v>553</v>
      </c>
      <c r="G426" s="4">
        <f t="shared" si="2"/>
        <v>2.73</v>
      </c>
      <c r="H426" s="4">
        <v>0.0</v>
      </c>
      <c r="I426" s="4">
        <v>0.0</v>
      </c>
      <c r="J426" s="4">
        <f t="shared" si="3"/>
        <v>0</v>
      </c>
      <c r="K426" s="4">
        <v>0.0</v>
      </c>
      <c r="L426" s="4">
        <f t="shared" si="4"/>
        <v>0</v>
      </c>
      <c r="M426" s="4" t="s">
        <v>647</v>
      </c>
      <c r="N426" s="4">
        <f t="shared" si="5"/>
        <v>2.69</v>
      </c>
      <c r="O426" s="4">
        <v>0.0</v>
      </c>
      <c r="P426" s="4">
        <f t="shared" si="6"/>
        <v>0</v>
      </c>
      <c r="Q426" s="4">
        <v>0.0</v>
      </c>
      <c r="R426" s="4">
        <v>0.0</v>
      </c>
      <c r="S426" s="4">
        <v>166.0</v>
      </c>
      <c r="T426" s="4">
        <v>1274.0</v>
      </c>
      <c r="U426" s="4">
        <v>2517.0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4">
        <v>8.583815059E9</v>
      </c>
      <c r="B427" s="4">
        <v>42433.0</v>
      </c>
      <c r="C427" s="4">
        <v>2380.0</v>
      </c>
      <c r="D427" s="4" t="s">
        <v>648</v>
      </c>
      <c r="E427" s="4">
        <f t="shared" si="1"/>
        <v>1.86</v>
      </c>
      <c r="F427" s="4" t="s">
        <v>648</v>
      </c>
      <c r="G427" s="4">
        <f t="shared" si="2"/>
        <v>1.86</v>
      </c>
      <c r="H427" s="4">
        <v>0.0</v>
      </c>
      <c r="I427" s="4">
        <v>0.0</v>
      </c>
      <c r="J427" s="4">
        <f t="shared" si="3"/>
        <v>0</v>
      </c>
      <c r="K427" s="4">
        <v>0.0</v>
      </c>
      <c r="L427" s="4">
        <f t="shared" si="4"/>
        <v>0</v>
      </c>
      <c r="M427" s="4" t="s">
        <v>648</v>
      </c>
      <c r="N427" s="4">
        <f t="shared" si="5"/>
        <v>1.86</v>
      </c>
      <c r="O427" s="4">
        <v>0.0</v>
      </c>
      <c r="P427" s="4">
        <f t="shared" si="6"/>
        <v>0</v>
      </c>
      <c r="Q427" s="4">
        <v>0.0</v>
      </c>
      <c r="R427" s="4">
        <v>0.0</v>
      </c>
      <c r="S427" s="4">
        <v>131.0</v>
      </c>
      <c r="T427" s="4">
        <v>1309.0</v>
      </c>
      <c r="U427" s="4">
        <v>2400.0</v>
      </c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4">
        <v>8.583815059E9</v>
      </c>
      <c r="B428" s="4">
        <v>42464.0</v>
      </c>
      <c r="C428" s="4">
        <v>3159.0</v>
      </c>
      <c r="D428" s="4" t="s">
        <v>649</v>
      </c>
      <c r="E428" s="4">
        <f t="shared" si="1"/>
        <v>2.46</v>
      </c>
      <c r="F428" s="4" t="s">
        <v>649</v>
      </c>
      <c r="G428" s="4">
        <f t="shared" si="2"/>
        <v>2.46</v>
      </c>
      <c r="H428" s="4">
        <v>0.0</v>
      </c>
      <c r="I428" s="4">
        <v>0.0</v>
      </c>
      <c r="J428" s="4">
        <f t="shared" si="3"/>
        <v>0</v>
      </c>
      <c r="K428" s="4">
        <v>0.0</v>
      </c>
      <c r="L428" s="4">
        <f t="shared" si="4"/>
        <v>0</v>
      </c>
      <c r="M428" s="4" t="s">
        <v>649</v>
      </c>
      <c r="N428" s="4">
        <f t="shared" si="5"/>
        <v>2.46</v>
      </c>
      <c r="O428" s="4">
        <v>0.0</v>
      </c>
      <c r="P428" s="4">
        <f t="shared" si="6"/>
        <v>0</v>
      </c>
      <c r="Q428" s="4">
        <v>0.0</v>
      </c>
      <c r="R428" s="4">
        <v>0.0</v>
      </c>
      <c r="S428" s="4">
        <v>147.0</v>
      </c>
      <c r="T428" s="4">
        <v>1293.0</v>
      </c>
      <c r="U428" s="4">
        <v>2462.0</v>
      </c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4">
        <v>8.583815059E9</v>
      </c>
      <c r="B429" s="4">
        <v>42494.0</v>
      </c>
      <c r="C429" s="4">
        <v>6835.0</v>
      </c>
      <c r="D429" s="4" t="s">
        <v>209</v>
      </c>
      <c r="E429" s="4">
        <f t="shared" si="1"/>
        <v>5.33</v>
      </c>
      <c r="F429" s="4" t="s">
        <v>209</v>
      </c>
      <c r="G429" s="4">
        <f t="shared" si="2"/>
        <v>5.33</v>
      </c>
      <c r="H429" s="4">
        <v>0.0</v>
      </c>
      <c r="I429" s="4" t="s">
        <v>160</v>
      </c>
      <c r="J429" s="4">
        <f t="shared" si="3"/>
        <v>0.37</v>
      </c>
      <c r="K429" s="4" t="s">
        <v>29</v>
      </c>
      <c r="L429" s="4">
        <f t="shared" si="4"/>
        <v>0.73</v>
      </c>
      <c r="M429" s="4" t="s">
        <v>557</v>
      </c>
      <c r="N429" s="4">
        <f t="shared" si="5"/>
        <v>4.24</v>
      </c>
      <c r="O429" s="4">
        <v>0.0</v>
      </c>
      <c r="P429" s="4">
        <f t="shared" si="6"/>
        <v>0</v>
      </c>
      <c r="Q429" s="4">
        <v>5.0</v>
      </c>
      <c r="R429" s="4">
        <v>15.0</v>
      </c>
      <c r="S429" s="4">
        <v>212.0</v>
      </c>
      <c r="T429" s="4">
        <v>1208.0</v>
      </c>
      <c r="U429" s="4">
        <v>2786.0</v>
      </c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4">
        <v>8.583815059E9</v>
      </c>
      <c r="B430" s="4">
        <v>42525.0</v>
      </c>
      <c r="C430" s="4">
        <v>2098.0</v>
      </c>
      <c r="D430" s="4" t="s">
        <v>247</v>
      </c>
      <c r="E430" s="4">
        <f t="shared" si="1"/>
        <v>1.64</v>
      </c>
      <c r="F430" s="4" t="s">
        <v>247</v>
      </c>
      <c r="G430" s="4">
        <f t="shared" si="2"/>
        <v>1.64</v>
      </c>
      <c r="H430" s="4">
        <v>0.0</v>
      </c>
      <c r="I430" s="4">
        <v>0.0</v>
      </c>
      <c r="J430" s="4">
        <f t="shared" si="3"/>
        <v>0</v>
      </c>
      <c r="K430" s="4">
        <v>0.0</v>
      </c>
      <c r="L430" s="4">
        <f t="shared" si="4"/>
        <v>0</v>
      </c>
      <c r="M430" s="4" t="s">
        <v>172</v>
      </c>
      <c r="N430" s="4">
        <f t="shared" si="5"/>
        <v>1.63</v>
      </c>
      <c r="O430" s="4">
        <v>0.0</v>
      </c>
      <c r="P430" s="4">
        <f t="shared" si="6"/>
        <v>0</v>
      </c>
      <c r="Q430" s="4">
        <v>0.0</v>
      </c>
      <c r="R430" s="4">
        <v>0.0</v>
      </c>
      <c r="S430" s="4">
        <v>112.0</v>
      </c>
      <c r="T430" s="4">
        <v>1328.0</v>
      </c>
      <c r="U430" s="4">
        <v>2354.0</v>
      </c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4">
        <v>8.583815059E9</v>
      </c>
      <c r="B431" s="4">
        <v>42555.0</v>
      </c>
      <c r="C431" s="4">
        <v>2816.0</v>
      </c>
      <c r="D431" s="4" t="s">
        <v>650</v>
      </c>
      <c r="E431" s="4">
        <f t="shared" si="1"/>
        <v>2.2</v>
      </c>
      <c r="F431" s="4" t="s">
        <v>650</v>
      </c>
      <c r="G431" s="4">
        <f t="shared" si="2"/>
        <v>2.2</v>
      </c>
      <c r="H431" s="4">
        <v>0.0</v>
      </c>
      <c r="I431" s="4">
        <v>0.0</v>
      </c>
      <c r="J431" s="4">
        <f t="shared" si="3"/>
        <v>0</v>
      </c>
      <c r="K431" s="4">
        <v>0.0</v>
      </c>
      <c r="L431" s="4">
        <f t="shared" si="4"/>
        <v>0</v>
      </c>
      <c r="M431" s="4" t="s">
        <v>650</v>
      </c>
      <c r="N431" s="4">
        <f t="shared" si="5"/>
        <v>2.2</v>
      </c>
      <c r="O431" s="4">
        <v>0.0</v>
      </c>
      <c r="P431" s="4">
        <f t="shared" si="6"/>
        <v>0</v>
      </c>
      <c r="Q431" s="4">
        <v>0.0</v>
      </c>
      <c r="R431" s="4">
        <v>0.0</v>
      </c>
      <c r="S431" s="4">
        <v>138.0</v>
      </c>
      <c r="T431" s="4">
        <v>1302.0</v>
      </c>
      <c r="U431" s="4">
        <v>2437.0</v>
      </c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4">
        <v>8.583815059E9</v>
      </c>
      <c r="B432" s="4">
        <v>42586.0</v>
      </c>
      <c r="C432" s="4">
        <v>1408.0</v>
      </c>
      <c r="D432" s="4" t="s">
        <v>651</v>
      </c>
      <c r="E432" s="4">
        <f t="shared" si="1"/>
        <v>1.1</v>
      </c>
      <c r="F432" s="4" t="s">
        <v>651</v>
      </c>
      <c r="G432" s="4">
        <f t="shared" si="2"/>
        <v>1.1</v>
      </c>
      <c r="H432" s="4">
        <v>0.0</v>
      </c>
      <c r="I432" s="4">
        <v>0.0</v>
      </c>
      <c r="J432" s="4">
        <f t="shared" si="3"/>
        <v>0</v>
      </c>
      <c r="K432" s="4">
        <v>0.0</v>
      </c>
      <c r="L432" s="4">
        <f t="shared" si="4"/>
        <v>0</v>
      </c>
      <c r="M432" s="4" t="s">
        <v>651</v>
      </c>
      <c r="N432" s="4">
        <f t="shared" si="5"/>
        <v>1.1</v>
      </c>
      <c r="O432" s="4">
        <v>0.0</v>
      </c>
      <c r="P432" s="4">
        <f t="shared" si="6"/>
        <v>0</v>
      </c>
      <c r="Q432" s="4">
        <v>0.0</v>
      </c>
      <c r="R432" s="4">
        <v>0.0</v>
      </c>
      <c r="S432" s="4">
        <v>79.0</v>
      </c>
      <c r="T432" s="4">
        <v>1052.0</v>
      </c>
      <c r="U432" s="4">
        <v>1814.0</v>
      </c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4">
        <v>8.792009665E9</v>
      </c>
      <c r="B433" s="4">
        <v>42373.0</v>
      </c>
      <c r="C433" s="4">
        <v>4592.0</v>
      </c>
      <c r="D433" s="4" t="s">
        <v>76</v>
      </c>
      <c r="E433" s="4">
        <f t="shared" si="1"/>
        <v>2.94</v>
      </c>
      <c r="F433" s="4" t="s">
        <v>76</v>
      </c>
      <c r="G433" s="4">
        <f t="shared" si="2"/>
        <v>2.94</v>
      </c>
      <c r="H433" s="4">
        <v>0.0</v>
      </c>
      <c r="I433" s="4" t="s">
        <v>435</v>
      </c>
      <c r="J433" s="4">
        <f t="shared" si="3"/>
        <v>0.1</v>
      </c>
      <c r="K433" s="4" t="s">
        <v>98</v>
      </c>
      <c r="L433" s="4">
        <f t="shared" si="4"/>
        <v>0.14</v>
      </c>
      <c r="M433" s="4" t="s">
        <v>652</v>
      </c>
      <c r="N433" s="4">
        <f t="shared" si="5"/>
        <v>2.7</v>
      </c>
      <c r="O433" s="4">
        <v>0.0</v>
      </c>
      <c r="P433" s="4">
        <f t="shared" si="6"/>
        <v>0</v>
      </c>
      <c r="Q433" s="4">
        <v>4.0</v>
      </c>
      <c r="R433" s="4">
        <v>8.0</v>
      </c>
      <c r="S433" s="4">
        <v>176.0</v>
      </c>
      <c r="T433" s="4">
        <v>748.0</v>
      </c>
      <c r="U433" s="4">
        <v>2260.0</v>
      </c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4">
        <v>8.792009665E9</v>
      </c>
      <c r="B434" s="4">
        <v>42404.0</v>
      </c>
      <c r="C434" s="4">
        <v>8452.0</v>
      </c>
      <c r="D434" s="4" t="s">
        <v>461</v>
      </c>
      <c r="E434" s="4">
        <f t="shared" si="1"/>
        <v>5.41</v>
      </c>
      <c r="F434" s="4" t="s">
        <v>461</v>
      </c>
      <c r="G434" s="4">
        <f t="shared" si="2"/>
        <v>5.41</v>
      </c>
      <c r="H434" s="4">
        <v>0.0</v>
      </c>
      <c r="I434" s="4" t="s">
        <v>354</v>
      </c>
      <c r="J434" s="4">
        <f t="shared" si="3"/>
        <v>0.26</v>
      </c>
      <c r="K434" s="4" t="s">
        <v>653</v>
      </c>
      <c r="L434" s="4">
        <f t="shared" si="4"/>
        <v>0.39</v>
      </c>
      <c r="M434" s="4" t="s">
        <v>492</v>
      </c>
      <c r="N434" s="4">
        <f t="shared" si="5"/>
        <v>4.76</v>
      </c>
      <c r="O434" s="4">
        <v>0.0</v>
      </c>
      <c r="P434" s="4">
        <f t="shared" si="6"/>
        <v>0</v>
      </c>
      <c r="Q434" s="4">
        <v>9.0</v>
      </c>
      <c r="R434" s="4">
        <v>24.0</v>
      </c>
      <c r="S434" s="4">
        <v>328.0</v>
      </c>
      <c r="T434" s="4">
        <v>1079.0</v>
      </c>
      <c r="U434" s="4">
        <v>3004.0</v>
      </c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4">
        <v>8.792009665E9</v>
      </c>
      <c r="B435" s="4">
        <v>42433.0</v>
      </c>
      <c r="C435" s="4">
        <v>7238.0</v>
      </c>
      <c r="D435" s="4" t="s">
        <v>654</v>
      </c>
      <c r="E435" s="4">
        <f t="shared" si="1"/>
        <v>4.63</v>
      </c>
      <c r="F435" s="4" t="s">
        <v>654</v>
      </c>
      <c r="G435" s="4">
        <f t="shared" si="2"/>
        <v>4.63</v>
      </c>
      <c r="H435" s="4">
        <v>0.0</v>
      </c>
      <c r="I435" s="4" t="s">
        <v>655</v>
      </c>
      <c r="J435" s="4">
        <f t="shared" si="3"/>
        <v>0.11</v>
      </c>
      <c r="K435" s="4" t="s">
        <v>411</v>
      </c>
      <c r="L435" s="4">
        <f t="shared" si="4"/>
        <v>0.23</v>
      </c>
      <c r="M435" s="4" t="s">
        <v>52</v>
      </c>
      <c r="N435" s="4">
        <f t="shared" si="5"/>
        <v>4.29</v>
      </c>
      <c r="O435" s="4">
        <v>0.0</v>
      </c>
      <c r="P435" s="4">
        <f t="shared" si="6"/>
        <v>0</v>
      </c>
      <c r="Q435" s="4">
        <v>2.0</v>
      </c>
      <c r="R435" s="4">
        <v>6.0</v>
      </c>
      <c r="S435" s="4">
        <v>279.0</v>
      </c>
      <c r="T435" s="4">
        <v>636.0</v>
      </c>
      <c r="U435" s="4">
        <v>2667.0</v>
      </c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4">
        <v>8.792009665E9</v>
      </c>
      <c r="B436" s="4">
        <v>42464.0</v>
      </c>
      <c r="C436" s="4">
        <v>3821.0</v>
      </c>
      <c r="D436" s="4" t="s">
        <v>147</v>
      </c>
      <c r="E436" s="4">
        <f t="shared" si="1"/>
        <v>2.45</v>
      </c>
      <c r="F436" s="4" t="s">
        <v>147</v>
      </c>
      <c r="G436" s="4">
        <f t="shared" si="2"/>
        <v>2.45</v>
      </c>
      <c r="H436" s="4">
        <v>0.0</v>
      </c>
      <c r="I436" s="4">
        <v>0.0</v>
      </c>
      <c r="J436" s="4">
        <f t="shared" si="3"/>
        <v>0</v>
      </c>
      <c r="K436" s="4" t="s">
        <v>211</v>
      </c>
      <c r="L436" s="4">
        <f t="shared" si="4"/>
        <v>0.22</v>
      </c>
      <c r="M436" s="4" t="s">
        <v>656</v>
      </c>
      <c r="N436" s="4">
        <f t="shared" si="5"/>
        <v>2.23</v>
      </c>
      <c r="O436" s="4">
        <v>0.0</v>
      </c>
      <c r="P436" s="4">
        <f t="shared" si="6"/>
        <v>0</v>
      </c>
      <c r="Q436" s="4">
        <v>0.0</v>
      </c>
      <c r="R436" s="4">
        <v>9.0</v>
      </c>
      <c r="S436" s="4">
        <v>161.0</v>
      </c>
      <c r="T436" s="4">
        <v>675.0</v>
      </c>
      <c r="U436" s="4">
        <v>2229.0</v>
      </c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4">
        <v>8.792009665E9</v>
      </c>
      <c r="B437" s="4">
        <v>42494.0</v>
      </c>
      <c r="C437" s="4">
        <v>2332.0</v>
      </c>
      <c r="D437" s="4" t="s">
        <v>268</v>
      </c>
      <c r="E437" s="4">
        <f t="shared" si="1"/>
        <v>1.49</v>
      </c>
      <c r="F437" s="4" t="s">
        <v>268</v>
      </c>
      <c r="G437" s="4">
        <f t="shared" si="2"/>
        <v>1.49</v>
      </c>
      <c r="H437" s="4">
        <v>0.0</v>
      </c>
      <c r="I437" s="4" t="s">
        <v>102</v>
      </c>
      <c r="J437" s="4">
        <f t="shared" si="3"/>
        <v>0.01</v>
      </c>
      <c r="K437" s="4" t="s">
        <v>312</v>
      </c>
      <c r="L437" s="4">
        <f t="shared" si="4"/>
        <v>0.18</v>
      </c>
      <c r="M437" s="4" t="s">
        <v>297</v>
      </c>
      <c r="N437" s="4">
        <f t="shared" si="5"/>
        <v>1.3</v>
      </c>
      <c r="O437" s="4">
        <v>0.0</v>
      </c>
      <c r="P437" s="4">
        <f t="shared" si="6"/>
        <v>0</v>
      </c>
      <c r="Q437" s="4">
        <v>1.0</v>
      </c>
      <c r="R437" s="4">
        <v>10.0</v>
      </c>
      <c r="S437" s="4">
        <v>111.0</v>
      </c>
      <c r="T437" s="4">
        <v>904.0</v>
      </c>
      <c r="U437" s="4">
        <v>2100.0</v>
      </c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4">
        <v>8.792009665E9</v>
      </c>
      <c r="B438" s="4">
        <v>42525.0</v>
      </c>
      <c r="C438" s="4">
        <v>2121.0</v>
      </c>
      <c r="D438" s="4" t="s">
        <v>549</v>
      </c>
      <c r="E438" s="4">
        <f t="shared" si="1"/>
        <v>1.36</v>
      </c>
      <c r="F438" s="4" t="s">
        <v>549</v>
      </c>
      <c r="G438" s="4">
        <f t="shared" si="2"/>
        <v>1.36</v>
      </c>
      <c r="H438" s="4">
        <v>0.0</v>
      </c>
      <c r="I438" s="4">
        <v>0.0</v>
      </c>
      <c r="J438" s="4">
        <f t="shared" si="3"/>
        <v>0</v>
      </c>
      <c r="K438" s="4">
        <v>0.0</v>
      </c>
      <c r="L438" s="4">
        <f t="shared" si="4"/>
        <v>0</v>
      </c>
      <c r="M438" s="4" t="s">
        <v>549</v>
      </c>
      <c r="N438" s="4">
        <f t="shared" si="5"/>
        <v>1.36</v>
      </c>
      <c r="O438" s="4">
        <v>0.0</v>
      </c>
      <c r="P438" s="4">
        <f t="shared" si="6"/>
        <v>0</v>
      </c>
      <c r="Q438" s="4">
        <v>0.0</v>
      </c>
      <c r="R438" s="4">
        <v>0.0</v>
      </c>
      <c r="S438" s="4">
        <v>122.0</v>
      </c>
      <c r="T438" s="4">
        <v>855.0</v>
      </c>
      <c r="U438" s="4">
        <v>2114.0</v>
      </c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4">
        <v>8.792009665E9</v>
      </c>
      <c r="B439" s="4">
        <v>42555.0</v>
      </c>
      <c r="C439" s="4">
        <v>1291.0</v>
      </c>
      <c r="D439" s="4" t="s">
        <v>61</v>
      </c>
      <c r="E439" s="4">
        <f t="shared" si="1"/>
        <v>0.83</v>
      </c>
      <c r="F439" s="4" t="s">
        <v>61</v>
      </c>
      <c r="G439" s="4">
        <f t="shared" si="2"/>
        <v>0.83</v>
      </c>
      <c r="H439" s="4">
        <v>0.0</v>
      </c>
      <c r="I439" s="4">
        <v>0.0</v>
      </c>
      <c r="J439" s="4">
        <f t="shared" si="3"/>
        <v>0</v>
      </c>
      <c r="K439" s="4">
        <v>0.0</v>
      </c>
      <c r="L439" s="4">
        <f t="shared" si="4"/>
        <v>0</v>
      </c>
      <c r="M439" s="4" t="s">
        <v>61</v>
      </c>
      <c r="N439" s="4">
        <f t="shared" si="5"/>
        <v>0.83</v>
      </c>
      <c r="O439" s="4">
        <v>0.0</v>
      </c>
      <c r="P439" s="4">
        <f t="shared" si="6"/>
        <v>0</v>
      </c>
      <c r="Q439" s="4">
        <v>0.0</v>
      </c>
      <c r="R439" s="4">
        <v>0.0</v>
      </c>
      <c r="S439" s="4">
        <v>77.0</v>
      </c>
      <c r="T439" s="4">
        <v>888.0</v>
      </c>
      <c r="U439" s="4">
        <v>1961.0</v>
      </c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4">
        <v>8.792009665E9</v>
      </c>
      <c r="B440" s="4">
        <v>42586.0</v>
      </c>
      <c r="C440" s="4">
        <v>1467.0</v>
      </c>
      <c r="D440" s="4" t="s">
        <v>334</v>
      </c>
      <c r="E440" s="4">
        <f t="shared" si="1"/>
        <v>0.94</v>
      </c>
      <c r="F440" s="4" t="s">
        <v>334</v>
      </c>
      <c r="G440" s="4">
        <f t="shared" si="2"/>
        <v>0.94</v>
      </c>
      <c r="H440" s="4">
        <v>0.0</v>
      </c>
      <c r="I440" s="4" t="s">
        <v>435</v>
      </c>
      <c r="J440" s="4">
        <f t="shared" si="3"/>
        <v>0.1</v>
      </c>
      <c r="K440" s="4" t="s">
        <v>149</v>
      </c>
      <c r="L440" s="4">
        <f t="shared" si="4"/>
        <v>0.21</v>
      </c>
      <c r="M440" s="4" t="s">
        <v>182</v>
      </c>
      <c r="N440" s="4">
        <f t="shared" si="5"/>
        <v>0.63</v>
      </c>
      <c r="O440" s="4">
        <v>0.0</v>
      </c>
      <c r="P440" s="4">
        <f t="shared" si="6"/>
        <v>0</v>
      </c>
      <c r="Q440" s="4">
        <v>2.0</v>
      </c>
      <c r="R440" s="4">
        <v>8.0</v>
      </c>
      <c r="S440" s="4">
        <v>71.0</v>
      </c>
      <c r="T440" s="4">
        <v>912.0</v>
      </c>
      <c r="U440" s="4">
        <v>1953.0</v>
      </c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4">
        <v>8.792009665E9</v>
      </c>
      <c r="B441" s="4">
        <v>42617.0</v>
      </c>
      <c r="C441" s="4">
        <v>1022.0</v>
      </c>
      <c r="D441" s="4" t="s">
        <v>116</v>
      </c>
      <c r="E441" s="4">
        <f t="shared" si="1"/>
        <v>0.65</v>
      </c>
      <c r="F441" s="4" t="s">
        <v>116</v>
      </c>
      <c r="G441" s="4">
        <f t="shared" si="2"/>
        <v>0.65</v>
      </c>
      <c r="H441" s="4">
        <v>0.0</v>
      </c>
      <c r="I441" s="4">
        <v>0.0</v>
      </c>
      <c r="J441" s="4">
        <f t="shared" si="3"/>
        <v>0</v>
      </c>
      <c r="K441" s="4">
        <v>0.0</v>
      </c>
      <c r="L441" s="4">
        <f t="shared" si="4"/>
        <v>0</v>
      </c>
      <c r="M441" s="4" t="s">
        <v>116</v>
      </c>
      <c r="N441" s="4">
        <f t="shared" si="5"/>
        <v>0.65</v>
      </c>
      <c r="O441" s="4">
        <v>0.0</v>
      </c>
      <c r="P441" s="4">
        <f t="shared" si="6"/>
        <v>0</v>
      </c>
      <c r="Q441" s="4">
        <v>0.0</v>
      </c>
      <c r="R441" s="4">
        <v>0.0</v>
      </c>
      <c r="S441" s="4">
        <v>63.0</v>
      </c>
      <c r="T441" s="4">
        <v>739.0</v>
      </c>
      <c r="U441" s="4">
        <v>1890.0</v>
      </c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4">
        <v>8.792009665E9</v>
      </c>
      <c r="B442" s="4">
        <v>42647.0</v>
      </c>
      <c r="C442" s="4">
        <v>4605.0</v>
      </c>
      <c r="D442" s="4" t="s">
        <v>657</v>
      </c>
      <c r="E442" s="4">
        <f t="shared" si="1"/>
        <v>2.95</v>
      </c>
      <c r="F442" s="4" t="s">
        <v>657</v>
      </c>
      <c r="G442" s="4">
        <f t="shared" si="2"/>
        <v>2.95</v>
      </c>
      <c r="H442" s="4">
        <v>0.0</v>
      </c>
      <c r="I442" s="4">
        <v>0.0</v>
      </c>
      <c r="J442" s="4">
        <f t="shared" si="3"/>
        <v>0</v>
      </c>
      <c r="K442" s="4">
        <v>0.0</v>
      </c>
      <c r="L442" s="4">
        <f t="shared" si="4"/>
        <v>0</v>
      </c>
      <c r="M442" s="4" t="s">
        <v>657</v>
      </c>
      <c r="N442" s="4">
        <f t="shared" si="5"/>
        <v>2.95</v>
      </c>
      <c r="O442" s="4">
        <v>0.0</v>
      </c>
      <c r="P442" s="4">
        <f t="shared" si="6"/>
        <v>0</v>
      </c>
      <c r="Q442" s="4">
        <v>0.0</v>
      </c>
      <c r="R442" s="4">
        <v>0.0</v>
      </c>
      <c r="S442" s="4">
        <v>179.0</v>
      </c>
      <c r="T442" s="4">
        <v>1261.0</v>
      </c>
      <c r="U442" s="4">
        <v>2253.0</v>
      </c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4">
        <v>8.792009665E9</v>
      </c>
      <c r="B443" s="4">
        <v>42678.0</v>
      </c>
      <c r="C443" s="4">
        <v>178.0</v>
      </c>
      <c r="D443" s="4" t="s">
        <v>655</v>
      </c>
      <c r="E443" s="4">
        <f t="shared" si="1"/>
        <v>0.11</v>
      </c>
      <c r="F443" s="4" t="s">
        <v>655</v>
      </c>
      <c r="G443" s="4">
        <f t="shared" si="2"/>
        <v>0.11</v>
      </c>
      <c r="H443" s="4">
        <v>0.0</v>
      </c>
      <c r="I443" s="4">
        <v>0.0</v>
      </c>
      <c r="J443" s="4">
        <f t="shared" si="3"/>
        <v>0</v>
      </c>
      <c r="K443" s="4">
        <v>0.0</v>
      </c>
      <c r="L443" s="4">
        <f t="shared" si="4"/>
        <v>0</v>
      </c>
      <c r="M443" s="4" t="s">
        <v>655</v>
      </c>
      <c r="N443" s="4">
        <f t="shared" si="5"/>
        <v>0.11</v>
      </c>
      <c r="O443" s="4">
        <v>0.0</v>
      </c>
      <c r="P443" s="4">
        <f t="shared" si="6"/>
        <v>0</v>
      </c>
      <c r="Q443" s="4">
        <v>0.0</v>
      </c>
      <c r="R443" s="4">
        <v>0.0</v>
      </c>
      <c r="S443" s="4">
        <v>12.0</v>
      </c>
      <c r="T443" s="4">
        <v>1428.0</v>
      </c>
      <c r="U443" s="4">
        <v>1725.0</v>
      </c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4">
        <v>8.792009665E9</v>
      </c>
      <c r="B444" s="4">
        <v>42708.0</v>
      </c>
      <c r="C444" s="4">
        <v>20.0</v>
      </c>
      <c r="D444" s="4" t="s">
        <v>102</v>
      </c>
      <c r="E444" s="4">
        <f t="shared" si="1"/>
        <v>0.01</v>
      </c>
      <c r="F444" s="4" t="s">
        <v>102</v>
      </c>
      <c r="G444" s="4">
        <f t="shared" si="2"/>
        <v>0.01</v>
      </c>
      <c r="H444" s="4">
        <v>0.0</v>
      </c>
      <c r="I444" s="4">
        <v>0.0</v>
      </c>
      <c r="J444" s="4">
        <f t="shared" si="3"/>
        <v>0</v>
      </c>
      <c r="K444" s="4">
        <v>0.0</v>
      </c>
      <c r="L444" s="4">
        <f t="shared" si="4"/>
        <v>0</v>
      </c>
      <c r="M444" s="4" t="s">
        <v>102</v>
      </c>
      <c r="N444" s="4">
        <f t="shared" si="5"/>
        <v>0.01</v>
      </c>
      <c r="O444" s="4">
        <v>0.0</v>
      </c>
      <c r="P444" s="4">
        <f t="shared" si="6"/>
        <v>0</v>
      </c>
      <c r="Q444" s="4">
        <v>0.0</v>
      </c>
      <c r="R444" s="4">
        <v>0.0</v>
      </c>
      <c r="S444" s="4">
        <v>6.0</v>
      </c>
      <c r="T444" s="4">
        <v>598.0</v>
      </c>
      <c r="U444" s="4">
        <v>728.0</v>
      </c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4">
        <v>8.877689391E9</v>
      </c>
      <c r="B445" s="4">
        <v>42373.0</v>
      </c>
      <c r="C445" s="4">
        <v>18700.0</v>
      </c>
      <c r="D445" s="4" t="s">
        <v>658</v>
      </c>
      <c r="E445" s="4">
        <f t="shared" si="1"/>
        <v>15.82</v>
      </c>
      <c r="F445" s="4" t="s">
        <v>658</v>
      </c>
      <c r="G445" s="4">
        <f t="shared" si="2"/>
        <v>15.82</v>
      </c>
      <c r="H445" s="4">
        <v>0.0</v>
      </c>
      <c r="I445" s="4" t="s">
        <v>659</v>
      </c>
      <c r="J445" s="4">
        <f t="shared" si="3"/>
        <v>8.7</v>
      </c>
      <c r="K445" s="4" t="s">
        <v>34</v>
      </c>
      <c r="L445" s="4">
        <f t="shared" si="4"/>
        <v>0.16</v>
      </c>
      <c r="M445" s="4" t="s">
        <v>660</v>
      </c>
      <c r="N445" s="4">
        <f t="shared" si="5"/>
        <v>6.91</v>
      </c>
      <c r="O445" s="4">
        <v>0.0</v>
      </c>
      <c r="P445" s="4">
        <f t="shared" si="6"/>
        <v>0</v>
      </c>
      <c r="Q445" s="4">
        <v>67.0</v>
      </c>
      <c r="R445" s="4">
        <v>3.0</v>
      </c>
      <c r="S445" s="4">
        <v>247.0</v>
      </c>
      <c r="T445" s="4">
        <v>1123.0</v>
      </c>
      <c r="U445" s="4">
        <v>3527.0</v>
      </c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4">
        <v>8.877689391E9</v>
      </c>
      <c r="B446" s="4">
        <v>42404.0</v>
      </c>
      <c r="C446" s="4">
        <v>27572.0</v>
      </c>
      <c r="D446" s="4" t="s">
        <v>661</v>
      </c>
      <c r="E446" s="4">
        <f t="shared" si="1"/>
        <v>23.39</v>
      </c>
      <c r="F446" s="4" t="s">
        <v>661</v>
      </c>
      <c r="G446" s="4">
        <f t="shared" si="2"/>
        <v>23.39</v>
      </c>
      <c r="H446" s="4">
        <v>0.0</v>
      </c>
      <c r="I446" s="4" t="s">
        <v>662</v>
      </c>
      <c r="J446" s="4">
        <f t="shared" si="3"/>
        <v>14.72</v>
      </c>
      <c r="K446" s="4" t="s">
        <v>208</v>
      </c>
      <c r="L446" s="4">
        <f t="shared" si="4"/>
        <v>1.21</v>
      </c>
      <c r="M446" s="4" t="s">
        <v>249</v>
      </c>
      <c r="N446" s="4">
        <f t="shared" si="5"/>
        <v>7.34</v>
      </c>
      <c r="O446" s="4" t="s">
        <v>102</v>
      </c>
      <c r="P446" s="4">
        <f t="shared" si="6"/>
        <v>0.01</v>
      </c>
      <c r="Q446" s="4">
        <v>116.0</v>
      </c>
      <c r="R446" s="4">
        <v>24.0</v>
      </c>
      <c r="S446" s="4">
        <v>260.0</v>
      </c>
      <c r="T446" s="4">
        <v>1040.0</v>
      </c>
      <c r="U446" s="4">
        <v>4220.0</v>
      </c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4">
        <v>8.877689391E9</v>
      </c>
      <c r="B447" s="4">
        <v>42433.0</v>
      </c>
      <c r="C447" s="4">
        <v>15260.0</v>
      </c>
      <c r="D447" s="4" t="s">
        <v>495</v>
      </c>
      <c r="E447" s="4">
        <f t="shared" si="1"/>
        <v>8.19</v>
      </c>
      <c r="F447" s="4" t="s">
        <v>495</v>
      </c>
      <c r="G447" s="4">
        <f t="shared" si="2"/>
        <v>8.19</v>
      </c>
      <c r="H447" s="4">
        <v>0.0</v>
      </c>
      <c r="I447" s="4" t="s">
        <v>589</v>
      </c>
      <c r="J447" s="4">
        <f t="shared" si="3"/>
        <v>1.8</v>
      </c>
      <c r="K447" s="4" t="s">
        <v>635</v>
      </c>
      <c r="L447" s="4">
        <f t="shared" si="4"/>
        <v>0.75</v>
      </c>
      <c r="M447" s="4" t="s">
        <v>509</v>
      </c>
      <c r="N447" s="4">
        <f t="shared" si="5"/>
        <v>5.57</v>
      </c>
      <c r="O447" s="4">
        <v>0.0</v>
      </c>
      <c r="P447" s="4">
        <f t="shared" si="6"/>
        <v>0</v>
      </c>
      <c r="Q447" s="4">
        <v>106.0</v>
      </c>
      <c r="R447" s="4">
        <v>17.0</v>
      </c>
      <c r="S447" s="4">
        <v>259.0</v>
      </c>
      <c r="T447" s="4">
        <v>1058.0</v>
      </c>
      <c r="U447" s="4">
        <v>3864.0</v>
      </c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4">
        <v>8.877689391E9</v>
      </c>
      <c r="B448" s="4">
        <v>42464.0</v>
      </c>
      <c r="C448" s="4">
        <v>20779.0</v>
      </c>
      <c r="D448" s="4" t="s">
        <v>663</v>
      </c>
      <c r="E448" s="4">
        <f t="shared" si="1"/>
        <v>18.41</v>
      </c>
      <c r="F448" s="4" t="s">
        <v>663</v>
      </c>
      <c r="G448" s="4">
        <f t="shared" si="2"/>
        <v>18.41</v>
      </c>
      <c r="H448" s="4">
        <v>0.0</v>
      </c>
      <c r="I448" s="4" t="s">
        <v>664</v>
      </c>
      <c r="J448" s="4">
        <f t="shared" si="3"/>
        <v>11.73</v>
      </c>
      <c r="K448" s="4" t="s">
        <v>116</v>
      </c>
      <c r="L448" s="4">
        <f t="shared" si="4"/>
        <v>0.65</v>
      </c>
      <c r="M448" s="4">
        <v>6.0</v>
      </c>
      <c r="N448" s="4">
        <f t="shared" si="5"/>
        <v>6</v>
      </c>
      <c r="O448" s="4">
        <v>0.0</v>
      </c>
      <c r="P448" s="4">
        <f t="shared" si="6"/>
        <v>0</v>
      </c>
      <c r="Q448" s="4">
        <v>78.0</v>
      </c>
      <c r="R448" s="4">
        <v>16.0</v>
      </c>
      <c r="S448" s="4">
        <v>208.0</v>
      </c>
      <c r="T448" s="4">
        <v>1138.0</v>
      </c>
      <c r="U448" s="4">
        <v>3662.0</v>
      </c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4">
        <v>8.877689391E9</v>
      </c>
      <c r="B449" s="4">
        <v>42494.0</v>
      </c>
      <c r="C449" s="4">
        <v>10695.0</v>
      </c>
      <c r="D449" s="4" t="s">
        <v>148</v>
      </c>
      <c r="E449" s="4">
        <f t="shared" si="1"/>
        <v>8.12</v>
      </c>
      <c r="F449" s="4" t="s">
        <v>148</v>
      </c>
      <c r="G449" s="4">
        <f t="shared" si="2"/>
        <v>8.12</v>
      </c>
      <c r="H449" s="4">
        <v>0.0</v>
      </c>
      <c r="I449" s="4" t="s">
        <v>135</v>
      </c>
      <c r="J449" s="4">
        <f t="shared" si="3"/>
        <v>0.77</v>
      </c>
      <c r="K449" s="4" t="s">
        <v>312</v>
      </c>
      <c r="L449" s="4">
        <f t="shared" si="4"/>
        <v>0.18</v>
      </c>
      <c r="M449" s="4" t="s">
        <v>207</v>
      </c>
      <c r="N449" s="4">
        <f t="shared" si="5"/>
        <v>7.09</v>
      </c>
      <c r="O449" s="4" t="s">
        <v>102</v>
      </c>
      <c r="P449" s="4">
        <f t="shared" si="6"/>
        <v>0.01</v>
      </c>
      <c r="Q449" s="4">
        <v>10.0</v>
      </c>
      <c r="R449" s="4">
        <v>3.0</v>
      </c>
      <c r="S449" s="4">
        <v>246.0</v>
      </c>
      <c r="T449" s="4">
        <v>1181.0</v>
      </c>
      <c r="U449" s="4">
        <v>2834.0</v>
      </c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4">
        <v>8.877689391E9</v>
      </c>
      <c r="B450" s="4">
        <v>42525.0</v>
      </c>
      <c r="C450" s="4">
        <v>24136.0</v>
      </c>
      <c r="D450" s="4" t="s">
        <v>665</v>
      </c>
      <c r="E450" s="4">
        <f t="shared" si="1"/>
        <v>20.91</v>
      </c>
      <c r="F450" s="4" t="s">
        <v>665</v>
      </c>
      <c r="G450" s="4">
        <f t="shared" si="2"/>
        <v>20.91</v>
      </c>
      <c r="H450" s="4">
        <v>0.0</v>
      </c>
      <c r="I450" s="4" t="s">
        <v>666</v>
      </c>
      <c r="J450" s="4">
        <f t="shared" si="3"/>
        <v>12.22</v>
      </c>
      <c r="K450" s="4" t="s">
        <v>406</v>
      </c>
      <c r="L450" s="4">
        <f t="shared" si="4"/>
        <v>0.54</v>
      </c>
      <c r="M450" s="4" t="s">
        <v>567</v>
      </c>
      <c r="N450" s="4">
        <f t="shared" si="5"/>
        <v>8.08</v>
      </c>
      <c r="O450" s="4">
        <v>0.0</v>
      </c>
      <c r="P450" s="4">
        <f t="shared" si="6"/>
        <v>0</v>
      </c>
      <c r="Q450" s="4">
        <v>87.0</v>
      </c>
      <c r="R450" s="4">
        <v>16.0</v>
      </c>
      <c r="S450" s="4">
        <v>318.0</v>
      </c>
      <c r="T450" s="4">
        <v>1019.0</v>
      </c>
      <c r="U450" s="4">
        <v>4039.0</v>
      </c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4">
        <v>8.877689391E9</v>
      </c>
      <c r="B451" s="4">
        <v>42555.0</v>
      </c>
      <c r="C451" s="4">
        <v>10910.0</v>
      </c>
      <c r="D451" s="4" t="s">
        <v>667</v>
      </c>
      <c r="E451" s="4">
        <f t="shared" si="1"/>
        <v>8.42</v>
      </c>
      <c r="F451" s="4" t="s">
        <v>667</v>
      </c>
      <c r="G451" s="4">
        <f t="shared" si="2"/>
        <v>8.42</v>
      </c>
      <c r="H451" s="4">
        <v>0.0</v>
      </c>
      <c r="I451" s="4" t="s">
        <v>372</v>
      </c>
      <c r="J451" s="4">
        <f t="shared" si="3"/>
        <v>2.96</v>
      </c>
      <c r="K451" s="4" t="s">
        <v>653</v>
      </c>
      <c r="L451" s="4">
        <f t="shared" si="4"/>
        <v>0.39</v>
      </c>
      <c r="M451" s="4" t="s">
        <v>156</v>
      </c>
      <c r="N451" s="4">
        <f t="shared" si="5"/>
        <v>5.03</v>
      </c>
      <c r="O451" s="4">
        <v>0.0</v>
      </c>
      <c r="P451" s="4">
        <f t="shared" si="6"/>
        <v>0</v>
      </c>
      <c r="Q451" s="4">
        <v>32.0</v>
      </c>
      <c r="R451" s="4">
        <v>11.0</v>
      </c>
      <c r="S451" s="4">
        <v>212.0</v>
      </c>
      <c r="T451" s="4">
        <v>1185.0</v>
      </c>
      <c r="U451" s="4">
        <v>2947.0</v>
      </c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4">
        <v>8.877689391E9</v>
      </c>
      <c r="B452" s="4">
        <v>42586.0</v>
      </c>
      <c r="C452" s="4">
        <v>23014.0</v>
      </c>
      <c r="D452" s="4" t="s">
        <v>668</v>
      </c>
      <c r="E452" s="4">
        <f t="shared" si="1"/>
        <v>20.39</v>
      </c>
      <c r="F452" s="4" t="s">
        <v>668</v>
      </c>
      <c r="G452" s="4">
        <f t="shared" si="2"/>
        <v>20.39</v>
      </c>
      <c r="H452" s="4">
        <v>0.0</v>
      </c>
      <c r="I452" s="4" t="s">
        <v>669</v>
      </c>
      <c r="J452" s="4">
        <f t="shared" si="3"/>
        <v>11.1</v>
      </c>
      <c r="K452" s="4" t="s">
        <v>182</v>
      </c>
      <c r="L452" s="4">
        <f t="shared" si="4"/>
        <v>0.63</v>
      </c>
      <c r="M452" s="4" t="s">
        <v>670</v>
      </c>
      <c r="N452" s="4">
        <f t="shared" si="5"/>
        <v>8.62</v>
      </c>
      <c r="O452" s="4">
        <v>0.0</v>
      </c>
      <c r="P452" s="4">
        <f t="shared" si="6"/>
        <v>0</v>
      </c>
      <c r="Q452" s="4">
        <v>70.0</v>
      </c>
      <c r="R452" s="4">
        <v>29.0</v>
      </c>
      <c r="S452" s="4">
        <v>359.0</v>
      </c>
      <c r="T452" s="4">
        <v>982.0</v>
      </c>
      <c r="U452" s="4">
        <v>4196.0</v>
      </c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4">
        <v>8.877689391E9</v>
      </c>
      <c r="B453" s="4">
        <v>42617.0</v>
      </c>
      <c r="C453" s="4">
        <v>16470.0</v>
      </c>
      <c r="D453" s="4" t="s">
        <v>671</v>
      </c>
      <c r="E453" s="4">
        <f t="shared" si="1"/>
        <v>8.07</v>
      </c>
      <c r="F453" s="4" t="s">
        <v>671</v>
      </c>
      <c r="G453" s="4">
        <f t="shared" si="2"/>
        <v>8.07</v>
      </c>
      <c r="H453" s="4">
        <v>0.0</v>
      </c>
      <c r="I453" s="4">
        <v>0.0</v>
      </c>
      <c r="J453" s="4">
        <f t="shared" si="3"/>
        <v>0</v>
      </c>
      <c r="K453" s="4" t="s">
        <v>179</v>
      </c>
      <c r="L453" s="4">
        <f t="shared" si="4"/>
        <v>0.02</v>
      </c>
      <c r="M453" s="4" t="s">
        <v>672</v>
      </c>
      <c r="N453" s="4">
        <f t="shared" si="5"/>
        <v>8.02</v>
      </c>
      <c r="O453" s="4">
        <v>0.0</v>
      </c>
      <c r="P453" s="4">
        <f t="shared" si="6"/>
        <v>0</v>
      </c>
      <c r="Q453" s="4">
        <v>90.0</v>
      </c>
      <c r="R453" s="4">
        <v>9.0</v>
      </c>
      <c r="S453" s="4">
        <v>289.0</v>
      </c>
      <c r="T453" s="4">
        <v>1052.0</v>
      </c>
      <c r="U453" s="4">
        <v>3841.0</v>
      </c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4">
        <v>8.877689391E9</v>
      </c>
      <c r="B454" s="4">
        <v>42647.0</v>
      </c>
      <c r="C454" s="4">
        <v>28497.0</v>
      </c>
      <c r="D454" s="4" t="s">
        <v>673</v>
      </c>
      <c r="E454" s="4">
        <f t="shared" si="1"/>
        <v>27.53</v>
      </c>
      <c r="F454" s="4" t="s">
        <v>673</v>
      </c>
      <c r="G454" s="4">
        <f t="shared" si="2"/>
        <v>27.53</v>
      </c>
      <c r="H454" s="4">
        <v>0.0</v>
      </c>
      <c r="I454" s="4" t="s">
        <v>674</v>
      </c>
      <c r="J454" s="4">
        <f t="shared" si="3"/>
        <v>21.92</v>
      </c>
      <c r="K454" s="4" t="s">
        <v>594</v>
      </c>
      <c r="L454" s="4">
        <f t="shared" si="4"/>
        <v>1.12</v>
      </c>
      <c r="M454" s="4" t="s">
        <v>418</v>
      </c>
      <c r="N454" s="4">
        <f t="shared" si="5"/>
        <v>4.46</v>
      </c>
      <c r="O454" s="4">
        <v>0.0</v>
      </c>
      <c r="P454" s="4">
        <f t="shared" si="6"/>
        <v>0</v>
      </c>
      <c r="Q454" s="4">
        <v>128.0</v>
      </c>
      <c r="R454" s="4">
        <v>46.0</v>
      </c>
      <c r="S454" s="4">
        <v>211.0</v>
      </c>
      <c r="T454" s="4">
        <v>1055.0</v>
      </c>
      <c r="U454" s="4">
        <v>4526.0</v>
      </c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4">
        <v>8.877689391E9</v>
      </c>
      <c r="B455" s="4">
        <v>42678.0</v>
      </c>
      <c r="C455" s="4">
        <v>10622.0</v>
      </c>
      <c r="D455" s="4" t="s">
        <v>468</v>
      </c>
      <c r="E455" s="4">
        <f t="shared" si="1"/>
        <v>8.06</v>
      </c>
      <c r="F455" s="4" t="s">
        <v>468</v>
      </c>
      <c r="G455" s="4">
        <f t="shared" si="2"/>
        <v>8.06</v>
      </c>
      <c r="H455" s="4">
        <v>0.0</v>
      </c>
      <c r="I455" s="4" t="s">
        <v>389</v>
      </c>
      <c r="J455" s="4">
        <f t="shared" si="3"/>
        <v>1.47</v>
      </c>
      <c r="K455" s="4" t="s">
        <v>309</v>
      </c>
      <c r="L455" s="4">
        <f t="shared" si="4"/>
        <v>0.15</v>
      </c>
      <c r="M455" s="4" t="s">
        <v>67</v>
      </c>
      <c r="N455" s="4">
        <f t="shared" si="5"/>
        <v>6.37</v>
      </c>
      <c r="O455" s="4" t="s">
        <v>102</v>
      </c>
      <c r="P455" s="4">
        <f t="shared" si="6"/>
        <v>0.01</v>
      </c>
      <c r="Q455" s="4">
        <v>18.0</v>
      </c>
      <c r="R455" s="4">
        <v>7.0</v>
      </c>
      <c r="S455" s="4">
        <v>225.0</v>
      </c>
      <c r="T455" s="4">
        <v>1190.0</v>
      </c>
      <c r="U455" s="4">
        <v>2820.0</v>
      </c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4">
        <v>8.877689391E9</v>
      </c>
      <c r="B456" s="4">
        <v>42708.0</v>
      </c>
      <c r="C456" s="4">
        <v>2350.0</v>
      </c>
      <c r="D456" s="4" t="s">
        <v>641</v>
      </c>
      <c r="E456" s="4">
        <f t="shared" si="1"/>
        <v>1.78</v>
      </c>
      <c r="F456" s="4" t="s">
        <v>641</v>
      </c>
      <c r="G456" s="4">
        <f t="shared" si="2"/>
        <v>1.78</v>
      </c>
      <c r="H456" s="4">
        <v>0.0</v>
      </c>
      <c r="I456" s="4">
        <v>0.0</v>
      </c>
      <c r="J456" s="4">
        <f t="shared" si="3"/>
        <v>0</v>
      </c>
      <c r="K456" s="4">
        <v>0.0</v>
      </c>
      <c r="L456" s="4">
        <f t="shared" si="4"/>
        <v>0</v>
      </c>
      <c r="M456" s="4" t="s">
        <v>641</v>
      </c>
      <c r="N456" s="4">
        <f t="shared" si="5"/>
        <v>1.78</v>
      </c>
      <c r="O456" s="4">
        <v>0.0</v>
      </c>
      <c r="P456" s="4">
        <f t="shared" si="6"/>
        <v>0</v>
      </c>
      <c r="Q456" s="4">
        <v>0.0</v>
      </c>
      <c r="R456" s="4">
        <v>0.0</v>
      </c>
      <c r="S456" s="4">
        <v>58.0</v>
      </c>
      <c r="T456" s="4">
        <v>531.0</v>
      </c>
      <c r="U456" s="4">
        <v>938.0</v>
      </c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R459" s="5"/>
      <c r="S459" s="5"/>
      <c r="T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R460" s="5"/>
      <c r="S460" s="5"/>
      <c r="T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R461" s="5"/>
      <c r="S461" s="5"/>
      <c r="T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drawing r:id="rId1"/>
</worksheet>
</file>